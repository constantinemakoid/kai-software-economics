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Паспорт" sheetId="1" state="visible" r:id="rId3"/>
    <sheet name="Параметри" sheetId="2" state="visible" r:id="rId4"/>
    <sheet name="Цінність" sheetId="3" state="visible" r:id="rId5"/>
    <sheet name="Сегменти" sheetId="4" state="visible" r:id="rId6"/>
    <sheet name="Стейкхолдери" sheetId="5" state="visible" r:id="rId7"/>
    <sheet name="Витрати ЖЦ" sheetId="6" state="visible" r:id="rId8"/>
    <sheet name="Змінні витрати" sheetId="7" state="visible" r:id="rId9"/>
    <sheet name="Припущення" sheetId="8" state="visible" r:id="rId10"/>
  </sheets>
  <definedNames>
    <definedName function="false" hidden="false" name="f_fixed" vbProcedure="false">'Змінні витрати'!$C$7</definedName>
    <definedName function="false" hidden="false" name="p_alerts_month" vbProcedure="false">Параметри!$C$18</definedName>
    <definedName function="false" hidden="false" name="p_alert_price" vbProcedure="false">Параметри!$C$19</definedName>
    <definedName function="false" hidden="false" name="p_anomalies_month" vbProcedure="false">Параметри!$C$8</definedName>
    <definedName function="false" hidden="false" name="p_anomaly_hours_day" vbProcedure="false">Параметри!$C$10</definedName>
    <definedName function="false" hidden="false" name="p_area_m2" vbProcedure="false">Параметри!$C$2</definedName>
    <definedName function="false" hidden="false" name="p_buildings_y3" vbProcedure="false">Параметри!$C$23</definedName>
    <definedName function="false" hidden="false" name="p_cost_per_1000" vbProcedure="false">Параметри!$C$16</definedName>
    <definedName function="false" hidden="false" name="p_days_as_is" vbProcedure="false">Параметри!$C$11</definedName>
    <definedName function="false" hidden="false" name="p_days_month" vbProcedure="false">Параметри!$C$5</definedName>
    <definedName function="false" hidden="false" name="p_days_to_be" vbProcedure="false">Параметри!$C$12</definedName>
    <definedName function="false" hidden="false" name="p_delta_kw" vbProcedure="false">Параметри!$C$9</definedName>
    <definedName function="false" hidden="false" name="p_fixed_platform" vbProcedure="false">Параметри!$C$22</definedName>
    <definedName function="false" hidden="false" name="p_interval_min" vbProcedure="false">Параметри!$C$4</definedName>
    <definedName function="false" hidden="false" name="p_kwh_m2_year" vbProcedure="false">Параметри!$C$6</definedName>
    <definedName function="false" hidden="false" name="p_meters" vbProcedure="false">Параметри!$C$3</definedName>
    <definedName function="false" hidden="false" name="p_mvp_months" vbProcedure="false">Параметри!$C$24</definedName>
    <definedName function="false" hidden="false" name="p_price_hypothesis" vbProcedure="false">Параметри!$C$26</definedName>
    <definedName function="false" hidden="false" name="p_sim_month" vbProcedure="false">Параметри!$C$17</definedName>
    <definedName function="false" hidden="false" name="p_support_hours" vbProcedure="false">Параметри!$C$20</definedName>
    <definedName function="false" hidden="false" name="p_support_rate" vbProcedure="false">Параметри!$C$21</definedName>
    <definedName function="false" hidden="false" name="p_tariff" vbProcedure="false">Параметри!$C$7</definedName>
    <definedName function="false" hidden="false" name="p_team_size" vbProcedure="false">Параметри!$C$25</definedName>
    <definedName function="false" hidden="false" name="p_tech_hours_as_is" vbProcedure="false">Параметри!$C$13</definedName>
    <definedName function="false" hidden="false" name="p_tech_hours_to_be" vbProcedure="false">Параметри!$C$14</definedName>
    <definedName function="false" hidden="false" name="p_tech_rate" vbProcedure="false">Параметри!$C$15</definedName>
    <definedName function="false" hidden="false" name="v_unit" vbProcedure="false">'Змінні витрати'!$C$6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<sst xmlns="http://schemas.openxmlformats.org/spreadsheetml/2006/main" count="462" uniqueCount="328">
  <si>
    <t xml:space="preserve">Поле</t>
  </si>
  <si>
    <t xml:space="preserve">Зміст</t>
  </si>
  <si>
    <t xml:space="preserve">Назва продукту</t>
  </si>
  <si>
    <t xml:space="preserve">ЕнергоПульс: моніторинг енергоспоживання будівлі</t>
  </si>
  <si>
    <t xml:space="preserve">Проблема і контекст</t>
  </si>
  <si>
    <t xml:space="preserve">Енергоменеджер багатоорендного офісного центру виявляє аномальне споживання із запізненням (обходи, погодинні дані вводу або лише місячний рахунок): у середньому 12 діб, медіана близько 11 діб, для бази округлена до 12 діб (П); причину перевитрат встановити складно, бо субоблік знімають вручну раз на місяць, а погодинні дані є лише по вводу, без інтервальних даних по точках обліку. Втрати від аномалій оцінено в 3,4% річного споживання (П).</t>
  </si>
  <si>
    <t xml:space="preserve">Первинний сегмент</t>
  </si>
  <si>
    <t xml:space="preserve">S1: багатоорендні офісні центри класу B/B+ площею 8...25 тис. м² з енергоменеджером або головним інженером і субобліком орендарів</t>
  </si>
  <si>
    <t xml:space="preserve">Користувач, покупець, платник</t>
  </si>
  <si>
    <t xml:space="preserve">Користувачі: енергоменеджер, технік; вторинний: орендар. Покупець: власник (asset manager) або керуюча компанія. Платник: власник з операційного бюджету, частково відшкодовується орендарями через сервісний платіж</t>
  </si>
  <si>
    <t xml:space="preserve">Поточна альтернатива</t>
  </si>
  <si>
    <t xml:space="preserve">Місячні рахунки і ручне зняття показів у Excel, обходи техніка, погодинні дані комерційного обліку лише по вводу з затримкою, BMS без аналітики</t>
  </si>
  <si>
    <t xml:space="preserve">Ціннісна пропозиція</t>
  </si>
  <si>
    <t xml:space="preserve">Медіанний час виявлення аномалії не більше 2 год замість 12 діб і встановлення її причини до рахунку; оцінена цінність 10 800 EUR на будівлю за рік (П)</t>
  </si>
  <si>
    <t xml:space="preserve">Ключова метрика</t>
  </si>
  <si>
    <t xml:space="preserve">Медіана часу від початку аномалії до її фіксації: база 288 год (12 діб; медіана близько 11 діб, округлено, П), ціль: медіана не більше 2 год за 3 міс. пілоту; додатковий контроль хвоста розподілу: P80 не більше 4 год</t>
  </si>
  <si>
    <t xml:space="preserve">Межі MVP</t>
  </si>
  <si>
    <t xml:space="preserve">Одна будівля, лише електроенергія, 30 точок обліку, 11 функцій і 5 NFR; без керування обладнанням, білінгу, мобільного застосунку, погодної моделі</t>
  </si>
  <si>
    <t xml:space="preserve">Головне припущення</t>
  </si>
  <si>
    <t xml:space="preserve">A1: втрати від аномалій, які зараз виявляють із запізненням (обходи, погодинні дані, рахунок), становлять не менше 2% річного споживання будівлі (вплив 5, невизначеність 4)</t>
  </si>
  <si>
    <t xml:space="preserve">Критерій переходу далі</t>
  </si>
  <si>
    <t xml:space="preserve">A1, A2 і A5 підтверджено тестами: перевитрата не менше 2% у 2 з 3 будівель, не менше 3 листів про намір за ціною 130 EUR, дозавантаження не менше 99,5% інтервалів</t>
  </si>
  <si>
    <t xml:space="preserve">Ім'я</t>
  </si>
  <si>
    <t xml:space="preserve">Показник</t>
  </si>
  <si>
    <t xml:space="preserve">Значення</t>
  </si>
  <si>
    <t xml:space="preserve">Одиниця</t>
  </si>
  <si>
    <t xml:space="preserve">Тип</t>
  </si>
  <si>
    <t xml:space="preserve">Пояснення</t>
  </si>
  <si>
    <t xml:space="preserve">p_area_m2</t>
  </si>
  <si>
    <t xml:space="preserve">Корисна площа типової будівлі</t>
  </si>
  <si>
    <t xml:space="preserve">м²</t>
  </si>
  <si>
    <t xml:space="preserve">П</t>
  </si>
  <si>
    <t xml:space="preserve">офісний центр класу B з 15...25 орендарями</t>
  </si>
  <si>
    <t xml:space="preserve">p_meters</t>
  </si>
  <si>
    <t xml:space="preserve">Кількість точок обліку в будівлі</t>
  </si>
  <si>
    <t xml:space="preserve">шт.</t>
  </si>
  <si>
    <t xml:space="preserve">ввід, поверхові щити, орендарі, HVAC, ліфти</t>
  </si>
  <si>
    <t xml:space="preserve">p_interval_min</t>
  </si>
  <si>
    <t xml:space="preserve">Інтервал даних</t>
  </si>
  <si>
    <t xml:space="preserve">хв</t>
  </si>
  <si>
    <t xml:space="preserve">Д</t>
  </si>
  <si>
    <t xml:space="preserve">умова варіанта 14</t>
  </si>
  <si>
    <t xml:space="preserve">p_days_month</t>
  </si>
  <si>
    <t xml:space="preserve">Днів у розрахунковому місяці</t>
  </si>
  <si>
    <t xml:space="preserve">діб</t>
  </si>
  <si>
    <t xml:space="preserve">усереднення</t>
  </si>
  <si>
    <t xml:space="preserve">p_kwh_m2_year</t>
  </si>
  <si>
    <t xml:space="preserve">Питоме річне споживання</t>
  </si>
  <si>
    <t xml:space="preserve">кВт·год/м²</t>
  </si>
  <si>
    <t xml:space="preserve">типовий рівень для офісу з кондиціюванням</t>
  </si>
  <si>
    <t xml:space="preserve">p_tariff</t>
  </si>
  <si>
    <t xml:space="preserve">Тариф на електроенергію</t>
  </si>
  <si>
    <t xml:space="preserve">EUR/кВт·год</t>
  </si>
  <si>
    <t xml:space="preserve">непобутовий споживач, усереднено</t>
  </si>
  <si>
    <t xml:space="preserve">p_anomalies_month</t>
  </si>
  <si>
    <t xml:space="preserve">Аномалій на будівлю за місяць</t>
  </si>
  <si>
    <t xml:space="preserve">под.</t>
  </si>
  <si>
    <t xml:space="preserve">нічне навантаження, HVAC поза графіком, несправності</t>
  </si>
  <si>
    <t xml:space="preserve">p_delta_kw</t>
  </si>
  <si>
    <t xml:space="preserve">Середня надлишкова потужність аномалії</t>
  </si>
  <si>
    <t xml:space="preserve">кВт</t>
  </si>
  <si>
    <t xml:space="preserve">один вентиляційний агрегат або чилер</t>
  </si>
  <si>
    <t xml:space="preserve">p_anomaly_hours_day</t>
  </si>
  <si>
    <t xml:space="preserve">Годин дії аномалії на добу</t>
  </si>
  <si>
    <t xml:space="preserve">год</t>
  </si>
  <si>
    <t xml:space="preserve">переважно неробочий час</t>
  </si>
  <si>
    <t xml:space="preserve">p_days_as_is</t>
  </si>
  <si>
    <t xml:space="preserve">Тривалість аномалії до усунення, як є</t>
  </si>
  <si>
    <t xml:space="preserve">середнє 12,2 доби, медіана близько 11 діб; обидва округлено до 12 діб</t>
  </si>
  <si>
    <t xml:space="preserve">p_days_to_be</t>
  </si>
  <si>
    <t xml:space="preserve">Тривалість аномалії до усунення, як буде</t>
  </si>
  <si>
    <t xml:space="preserve">доба</t>
  </si>
  <si>
    <t xml:space="preserve">виявлення до 2 год і усунення протягом робочого дня</t>
  </si>
  <si>
    <t xml:space="preserve">p_tech_hours_as_is</t>
  </si>
  <si>
    <t xml:space="preserve">Пошук причини техніком, як є</t>
  </si>
  <si>
    <t xml:space="preserve">год/под.</t>
  </si>
  <si>
    <t xml:space="preserve">обхід щитів, ручні виміри</t>
  </si>
  <si>
    <t xml:space="preserve">p_tech_hours_to_be</t>
  </si>
  <si>
    <t xml:space="preserve">Пошук причини техніком, як буде</t>
  </si>
  <si>
    <t xml:space="preserve">лічильник і час відомі з алерту</t>
  </si>
  <si>
    <t xml:space="preserve">p_tech_rate</t>
  </si>
  <si>
    <t xml:space="preserve">Повна вартість години техніка</t>
  </si>
  <si>
    <t xml:space="preserve">EUR/год</t>
  </si>
  <si>
    <t xml:space="preserve">навантажена ставка</t>
  </si>
  <si>
    <t xml:space="preserve">p_cost_per_1000</t>
  </si>
  <si>
    <t xml:space="preserve">Обробка і зберігання 1000 показів</t>
  </si>
  <si>
    <t xml:space="preserve">EUR</t>
  </si>
  <si>
    <t xml:space="preserve">частка обчислень, БД часових рядів, резервних копій</t>
  </si>
  <si>
    <t xml:space="preserve">p_sim_month</t>
  </si>
  <si>
    <t xml:space="preserve">Мобільний зв'язок шлюзу</t>
  </si>
  <si>
    <t xml:space="preserve">EUR/міс</t>
  </si>
  <si>
    <t xml:space="preserve">LTE SIM з пакетом даних</t>
  </si>
  <si>
    <t xml:space="preserve">p_alerts_month</t>
  </si>
  <si>
    <t xml:space="preserve">Платних сповіщень на будівлю</t>
  </si>
  <si>
    <t xml:space="preserve">шт./міс</t>
  </si>
  <si>
    <t xml:space="preserve">SMS ескалації, решта через email і месенджер</t>
  </si>
  <si>
    <t xml:space="preserve">p_alert_price</t>
  </si>
  <si>
    <t xml:space="preserve">Ціна одного платного сповіщення</t>
  </si>
  <si>
    <t xml:space="preserve">SMS шлюз</t>
  </si>
  <si>
    <t xml:space="preserve">p_support_hours</t>
  </si>
  <si>
    <t xml:space="preserve">Підтримка на будівлю</t>
  </si>
  <si>
    <t xml:space="preserve">год/міс</t>
  </si>
  <si>
    <t xml:space="preserve">консультації, перевірка лічильників</t>
  </si>
  <si>
    <t xml:space="preserve">p_support_rate</t>
  </si>
  <si>
    <t xml:space="preserve">Повна вартість години підтримки</t>
  </si>
  <si>
    <t xml:space="preserve">інженер підтримки</t>
  </si>
  <si>
    <t xml:space="preserve">p_fixed_platform</t>
  </si>
  <si>
    <t xml:space="preserve">Постійна частина витрат платформи</t>
  </si>
  <si>
    <t xml:space="preserve">кластер БД, брокер MQTT, моніторинг, резервні копії</t>
  </si>
  <si>
    <t xml:space="preserve">p_buildings_y3</t>
  </si>
  <si>
    <t xml:space="preserve">Масштаб Y3</t>
  </si>
  <si>
    <t xml:space="preserve">будівель</t>
  </si>
  <si>
    <t xml:space="preserve">рядок варіанта 14 методичних вказівок до наступних робіт курсу</t>
  </si>
  <si>
    <t xml:space="preserve">p_mvp_months</t>
  </si>
  <si>
    <t xml:space="preserve">Строк розроблення MVP</t>
  </si>
  <si>
    <t xml:space="preserve">міс.</t>
  </si>
  <si>
    <t xml:space="preserve">p_team_size</t>
  </si>
  <si>
    <t xml:space="preserve">Чисельність команди MVP</t>
  </si>
  <si>
    <t xml:space="preserve">осіб</t>
  </si>
  <si>
    <t xml:space="preserve">рядок варіанта 14 методичних вказівок до наступних робіт курсу: BA/PM, 2 розробники, QA, DevOps</t>
  </si>
  <si>
    <t xml:space="preserve">p_price_hypothesis</t>
  </si>
  <si>
    <t xml:space="preserve">Гіпотеза ціни для перевірки A2</t>
  </si>
  <si>
    <t xml:space="preserve">не більше 15% оціненої вигоди</t>
  </si>
  <si>
    <t xml:space="preserve">Логіка</t>
  </si>
  <si>
    <t xml:space="preserve">Інтервалів на добу</t>
  </si>
  <si>
    <t xml:space="preserve">1440 / інтервал</t>
  </si>
  <si>
    <t xml:space="preserve">Показів на будівлю за місяць</t>
  </si>
  <si>
    <t xml:space="preserve">лічильники × інтервали × доби</t>
  </si>
  <si>
    <t xml:space="preserve">Річне споживання будівлі</t>
  </si>
  <si>
    <t xml:space="preserve">кВт·год</t>
  </si>
  <si>
    <t xml:space="preserve">площа × питоме споживання</t>
  </si>
  <si>
    <t xml:space="preserve">Річна вартість електроенергії</t>
  </si>
  <si>
    <t xml:space="preserve">споживання × тариф</t>
  </si>
  <si>
    <t xml:space="preserve">Втрати від аномалій, як є</t>
  </si>
  <si>
    <t xml:space="preserve">кВт·год/рік</t>
  </si>
  <si>
    <t xml:space="preserve">ΔP × год × доби × події × 12</t>
  </si>
  <si>
    <t xml:space="preserve">Втрати від аномалій, як буде</t>
  </si>
  <si>
    <t xml:space="preserve">Частка втрат у споживанні, як є</t>
  </si>
  <si>
    <t xml:space="preserve">%</t>
  </si>
  <si>
    <t xml:space="preserve">втрати / споживання</t>
  </si>
  <si>
    <t xml:space="preserve">Збережено енергії</t>
  </si>
  <si>
    <t xml:space="preserve">різниця втрат</t>
  </si>
  <si>
    <t xml:space="preserve">Збережено енергії, частка</t>
  </si>
  <si>
    <t xml:space="preserve">основа цілі R2</t>
  </si>
  <si>
    <t xml:space="preserve">Економія на енергії</t>
  </si>
  <si>
    <t xml:space="preserve">EUR/рік</t>
  </si>
  <si>
    <t xml:space="preserve">кВт·год × тариф</t>
  </si>
  <si>
    <t xml:space="preserve">Економія часу техніка</t>
  </si>
  <si>
    <t xml:space="preserve">Δгод × події × 12 × ставка</t>
  </si>
  <si>
    <t xml:space="preserve">Економічна цінність на будівлю</t>
  </si>
  <si>
    <t xml:space="preserve">сума</t>
  </si>
  <si>
    <t xml:space="preserve">для гіпотези ціни</t>
  </si>
  <si>
    <t xml:space="preserve">Гіпотеза ціни A2 як частка цінності</t>
  </si>
  <si>
    <t xml:space="preserve">ціна / цінність</t>
  </si>
  <si>
    <t xml:space="preserve">Сегмент</t>
  </si>
  <si>
    <t xml:space="preserve">Контекст</t>
  </si>
  <si>
    <t xml:space="preserve">Гострота болю</t>
  </si>
  <si>
    <t xml:space="preserve">Частота</t>
  </si>
  <si>
    <t xml:space="preserve">Доступність для перевірки</t>
  </si>
  <si>
    <t xml:space="preserve">Готовність змінити поведінку</t>
  </si>
  <si>
    <t xml:space="preserve">Зважений бал</t>
  </si>
  <si>
    <t xml:space="preserve">Ранг</t>
  </si>
  <si>
    <t xml:space="preserve">Вага критерію</t>
  </si>
  <si>
    <t xml:space="preserve">S1 Багатоорендні офісні центри класу B/B+</t>
  </si>
  <si>
    <t xml:space="preserve">8...25 тис. м², є енергоменеджер або головний інженер, субоблік орендарів</t>
  </si>
  <si>
    <t xml:space="preserve">S2 Торговельні центри</t>
  </si>
  <si>
    <t xml:space="preserve">високі пікові навантаження, власна служба експлуатації, довгий цикл погодження</t>
  </si>
  <si>
    <t xml:space="preserve">S3 Логістичні склади</t>
  </si>
  <si>
    <t xml:space="preserve">освітлення і холодильне обладнання, мало орендарів</t>
  </si>
  <si>
    <t xml:space="preserve">S4 Бюджетні установи</t>
  </si>
  <si>
    <t xml:space="preserve">школи і лікарні, закупівлі через тендер, обмежені повноваження персоналу</t>
  </si>
  <si>
    <t xml:space="preserve">Стейкхолдер</t>
  </si>
  <si>
    <t xml:space="preserve">Роль</t>
  </si>
  <si>
    <t xml:space="preserve">Інтерес і цінність</t>
  </si>
  <si>
    <t xml:space="preserve">Вплив 1...5</t>
  </si>
  <si>
    <t xml:space="preserve">Зацікавленість 1...5</t>
  </si>
  <si>
    <t xml:space="preserve">Пріоритет залучення</t>
  </si>
  <si>
    <t xml:space="preserve">Квадрант</t>
  </si>
  <si>
    <t xml:space="preserve">Конфлікт, ризик</t>
  </si>
  <si>
    <t xml:space="preserve">Залучення</t>
  </si>
  <si>
    <t xml:space="preserve">Енергоменеджер</t>
  </si>
  <si>
    <t xml:space="preserve">користувач, первинний</t>
  </si>
  <si>
    <t xml:space="preserve">бачити аномалії до рахунку, звітувати власнику про економію</t>
  </si>
  <si>
    <t xml:space="preserve">зростання навантаження через хибні алерти</t>
  </si>
  <si>
    <t xml:space="preserve">інтерв'ю, пілот, щотижневий розбір алертів</t>
  </si>
  <si>
    <t xml:space="preserve">Технік служби експлуатації</t>
  </si>
  <si>
    <t xml:space="preserve">користувач, виконавець</t>
  </si>
  <si>
    <t xml:space="preserve">швидко знаходити джерело перевитрати, менше обходів</t>
  </si>
  <si>
    <t xml:space="preserve">сприймає систему як контроль своєї роботи</t>
  </si>
  <si>
    <t xml:space="preserve">навчання 1 год, довідник причин зі слів техніків</t>
  </si>
  <si>
    <t xml:space="preserve">Власник будівлі (asset manager)</t>
  </si>
  <si>
    <t xml:space="preserve">покупець і платник</t>
  </si>
  <si>
    <t xml:space="preserve">нижчі операційні витрати, вища вартість активу, звітність ESG</t>
  </si>
  <si>
    <t xml:space="preserve">очікує окупність до 12 міс., не готовий фінансувати заміну лічильників</t>
  </si>
  <si>
    <t xml:space="preserve">розрахунок економії, лист про намір, звіт пілоту</t>
  </si>
  <si>
    <t xml:space="preserve">Керуюча компанія</t>
  </si>
  <si>
    <t xml:space="preserve">покупець в аутсорс-моделі, оператор</t>
  </si>
  <si>
    <t xml:space="preserve">виконати KPI договору управління, прозорий розподіл витрат</t>
  </si>
  <si>
    <t xml:space="preserve">економія зменшує базу винагороди, якщо вона залежить від обсягу витрат</t>
  </si>
  <si>
    <t xml:space="preserve">партнерський пілот, спільні KPI</t>
  </si>
  <si>
    <t xml:space="preserve">Орендар</t>
  </si>
  <si>
    <t xml:space="preserve">вторинний користувач, частковий платник через сервісний платіж</t>
  </si>
  <si>
    <t xml:space="preserve">справедливий рахунок за фактичне споживання</t>
  </si>
  <si>
    <t xml:space="preserve">небажання розкривати графік роботи, спори щодо розподілу</t>
  </si>
  <si>
    <t xml:space="preserve">щомісячний звіт лише по власних лічильниках</t>
  </si>
  <si>
    <t xml:space="preserve">Постачальник лічильників</t>
  </si>
  <si>
    <t xml:space="preserve">партнер, джерело даних</t>
  </si>
  <si>
    <t xml:space="preserve">продаж лічильників і сервісу, сумісність</t>
  </si>
  <si>
    <t xml:space="preserve">закриті протоколи, власна хмара як конкурент</t>
  </si>
  <si>
    <t xml:space="preserve">запит карти регістрів Modbus, тестовий стенд</t>
  </si>
  <si>
    <t xml:space="preserve">Оператор системи розподілу і постачальник</t>
  </si>
  <si>
    <t xml:space="preserve">зовнішній, джерело рахунків</t>
  </si>
  <si>
    <t xml:space="preserve">своєчасна оплата, точність комерційного обліку</t>
  </si>
  <si>
    <t xml:space="preserve">розбіжність субобліку і комерційного обліку</t>
  </si>
  <si>
    <t xml:space="preserve">імпорт рахунків, звірка показів вводу</t>
  </si>
  <si>
    <t xml:space="preserve">Етап</t>
  </si>
  <si>
    <t xml:space="preserve">Робота або ресурс</t>
  </si>
  <si>
    <t xml:space="preserve">Драйвер</t>
  </si>
  <si>
    <t xml:space="preserve">Прямі/непрямі</t>
  </si>
  <si>
    <t xml:space="preserve">Одноразові/періодичні</t>
  </si>
  <si>
    <t xml:space="preserve">Постійні/змінні</t>
  </si>
  <si>
    <t xml:space="preserve">Незворотні</t>
  </si>
  <si>
    <t xml:space="preserve">Discovery</t>
  </si>
  <si>
    <t xml:space="preserve">Інтерв'ю з 10 власниками і керуючими компаніями (BA, 0,5 FTE)</t>
  </si>
  <si>
    <t xml:space="preserve">кількість інтерв'ю</t>
  </si>
  <si>
    <t xml:space="preserve">прямі</t>
  </si>
  <si>
    <t xml:space="preserve">одноразові</t>
  </si>
  <si>
    <t xml:space="preserve">змінні</t>
  </si>
  <si>
    <t xml:space="preserve">так</t>
  </si>
  <si>
    <t xml:space="preserve">Аналіз історичних погодинних даних комерційного обліку по вводу 3 будівель і розмітка аномалій</t>
  </si>
  <si>
    <t xml:space="preserve">кількість будівель і місяців даних</t>
  </si>
  <si>
    <t xml:space="preserve">Тест A5: тимчасова збірка шлюзу (мінікомп'ютер, адаптер RS-485) в 1 будівлі на 2 тижні</t>
  </si>
  <si>
    <t xml:space="preserve">кількість тестових будівель</t>
  </si>
  <si>
    <t xml:space="preserve">Юридична консультація щодо даних субобліку орендарів</t>
  </si>
  <si>
    <t xml:space="preserve">кількість типів договорів</t>
  </si>
  <si>
    <t xml:space="preserve">постійні</t>
  </si>
  <si>
    <t xml:space="preserve">Delivery</t>
  </si>
  <si>
    <t xml:space="preserve">Розроблення MVP командою з 5 осіб протягом 7 міс.: BA/PM, 2 розробники (backend, frontend, ПЗ шлюзу), QA, DevOps</t>
  </si>
  <si>
    <t xml:space="preserve">обсяг scope, SP; FTE ролей</t>
  </si>
  <si>
    <t xml:space="preserve">Тестовий стенд з 6 типами лічильників</t>
  </si>
  <si>
    <t xml:space="preserve">кількість типів лічильників</t>
  </si>
  <si>
    <t xml:space="preserve">Налаштування CI/CD, середовищ і моніторингу (DevOps)</t>
  </si>
  <si>
    <t xml:space="preserve">кількість середовищ</t>
  </si>
  <si>
    <t xml:space="preserve">Ліцензії інструментів розробки і репозиторію</t>
  </si>
  <si>
    <t xml:space="preserve">кількість членів команди</t>
  </si>
  <si>
    <t xml:space="preserve">непрямі</t>
  </si>
  <si>
    <t xml:space="preserve">періодичні</t>
  </si>
  <si>
    <t xml:space="preserve">ні</t>
  </si>
  <si>
    <t xml:space="preserve">Operation</t>
  </si>
  <si>
    <t xml:space="preserve">Базова хмарна інфраструктура: БД часових рядів, брокер, резервні копії</t>
  </si>
  <si>
    <t xml:space="preserve">рівень доступності, кількість середовищ</t>
  </si>
  <si>
    <t xml:space="preserve">Обробка і зберігання показів</t>
  </si>
  <si>
    <t xml:space="preserve">кількість показів = лічильники × 96 × днів</t>
  </si>
  <si>
    <t xml:space="preserve">Мобільний зв'язок шлюзів і платні сповіщення</t>
  </si>
  <si>
    <t xml:space="preserve">кількість будівель, кількість ескалацій</t>
  </si>
  <si>
    <t xml:space="preserve">Підтримка будівлі: консультації клієнта, перевірка нестабільних лічильників (у v)</t>
  </si>
  <si>
    <t xml:space="preserve">кількість будівель і нестабільних лічильників</t>
  </si>
  <si>
    <t xml:space="preserve">Support і change команди: чергування, онбординг нових будівель, виправлення, оновлення, нові моделі лічильників</t>
  </si>
  <si>
    <t xml:space="preserve">частки FTE команди супроводу; кількість змін</t>
  </si>
  <si>
    <t xml:space="preserve">Накладні: офіс, бухгалтерія, страхування відповідальності</t>
  </si>
  <si>
    <t xml:space="preserve">чисельність персоналу</t>
  </si>
  <si>
    <t xml:space="preserve">Retirement</t>
  </si>
  <si>
    <t xml:space="preserve">Експорт історії клієнту (CSV, Parquet) і передача документації</t>
  </si>
  <si>
    <t xml:space="preserve">обсяг даних, кількість клієнтів</t>
  </si>
  <si>
    <t xml:space="preserve">Демонтаж або передача шлюзів</t>
  </si>
  <si>
    <t xml:space="preserve">кількість будівель</t>
  </si>
  <si>
    <t xml:space="preserve">Видалення даних з резервних копій і акт знищення</t>
  </si>
  <si>
    <t xml:space="preserve">строк зберігання копій</t>
  </si>
  <si>
    <t xml:space="preserve">Повідомлення клієнтів і перехідний період підтримки</t>
  </si>
  <si>
    <t xml:space="preserve">кількість клієнтів</t>
  </si>
  <si>
    <t xml:space="preserve">Позицій усього</t>
  </si>
  <si>
    <t xml:space="preserve">Складова v (на будівлю за місяць)</t>
  </si>
  <si>
    <t xml:space="preserve">Формула</t>
  </si>
  <si>
    <t xml:space="preserve">покази / 1000 × ціна</t>
  </si>
  <si>
    <t xml:space="preserve">SIM</t>
  </si>
  <si>
    <t xml:space="preserve">Платні сповіщення</t>
  </si>
  <si>
    <t xml:space="preserve">кількість × ціна</t>
  </si>
  <si>
    <t xml:space="preserve">Підтримка</t>
  </si>
  <si>
    <t xml:space="preserve">год × ставка</t>
  </si>
  <si>
    <t xml:space="preserve">v, змінні витрати на будівлю</t>
  </si>
  <si>
    <t xml:space="preserve">F, постійна частина</t>
  </si>
  <si>
    <t xml:space="preserve">базова платформа</t>
  </si>
  <si>
    <t xml:space="preserve">Кількість будівель N</t>
  </si>
  <si>
    <t xml:space="preserve">C(N) = F + v × N, EUR/міс</t>
  </si>
  <si>
    <t xml:space="preserve">C(N) / N, EUR на будівлю</t>
  </si>
  <si>
    <t xml:space="preserve">Частка F у C(N)</t>
  </si>
  <si>
    <t xml:space="preserve">ID</t>
  </si>
  <si>
    <t xml:space="preserve">Категорія</t>
  </si>
  <si>
    <t xml:space="preserve">Припущення</t>
  </si>
  <si>
    <t xml:space="preserve">Вплив</t>
  </si>
  <si>
    <t xml:space="preserve">Невизнач.</t>
  </si>
  <si>
    <t xml:space="preserve">Пріоритет</t>
  </si>
  <si>
    <t xml:space="preserve">Ключ сортування</t>
  </si>
  <si>
    <t xml:space="preserve">Топ 5</t>
  </si>
  <si>
    <t xml:space="preserve">A1</t>
  </si>
  <si>
    <t xml:space="preserve">Цінність</t>
  </si>
  <si>
    <t xml:space="preserve">Втрати від аномалій, які зараз виявляють із запізненням (обходи, погодинні дані, рахунок), становлять не менше 2% річного споживання будівлі</t>
  </si>
  <si>
    <t xml:space="preserve">A2</t>
  </si>
  <si>
    <t xml:space="preserve">Попит, фінанси</t>
  </si>
  <si>
    <t xml:space="preserve">Власник або керуюча компанія платить не менше 130 EUR на місяць за будівлю</t>
  </si>
  <si>
    <t xml:space="preserve">A3</t>
  </si>
  <si>
    <t xml:space="preserve">Поведінка</t>
  </si>
  <si>
    <t xml:space="preserve">Енергоменеджер реагує на алерт протягом робочого дня щонайменше у 70% випадків</t>
  </si>
  <si>
    <t xml:space="preserve">A4</t>
  </si>
  <si>
    <t xml:space="preserve">Технологія</t>
  </si>
  <si>
    <t xml:space="preserve">Не менше 80% лічильників цільових будівель мають Modbus або імпульсний вихід без заміни</t>
  </si>
  <si>
    <t xml:space="preserve">A5</t>
  </si>
  <si>
    <t xml:space="preserve">Дані</t>
  </si>
  <si>
    <t xml:space="preserve">Нестабільні лічильники дають не більше 10% пропусків, а буфер шлюзу відновлює не менше 99,5% інтервалів</t>
  </si>
  <si>
    <t xml:space="preserve">A6</t>
  </si>
  <si>
    <t xml:space="preserve">Операції</t>
  </si>
  <si>
    <t xml:space="preserve">Технік встановлює шлюз і налаштовує 30 лічильників за один робочий день</t>
  </si>
  <si>
    <t xml:space="preserve">A7</t>
  </si>
  <si>
    <t xml:space="preserve">Технологія, дані</t>
  </si>
  <si>
    <t xml:space="preserve">Проста базова лінія без погоди дає не більше 20% хибних алертів</t>
  </si>
  <si>
    <t xml:space="preserve">A8</t>
  </si>
  <si>
    <t xml:space="preserve">Право, етика</t>
  </si>
  <si>
    <t xml:space="preserve">Договори оренди дозволяють показувати власнику дані субобліку орендаря без додаткової згоди</t>
  </si>
  <si>
    <t xml:space="preserve">A9</t>
  </si>
  <si>
    <t xml:space="preserve">Фінанси</t>
  </si>
  <si>
    <t xml:space="preserve">Змінні витрати не перевищують 16 EUR на будівлю за місяць при 30 лічильниках</t>
  </si>
  <si>
    <t xml:space="preserve">A10</t>
  </si>
  <si>
    <t xml:space="preserve">Попит</t>
  </si>
  <si>
    <t xml:space="preserve">Не менше 30% опитаних керуючих компаній погодяться на безкоштовний пілот 3 міс.</t>
  </si>
  <si>
    <t xml:space="preserve">A11</t>
  </si>
  <si>
    <t xml:space="preserve">Орендарі приймають місячний звіт субобліку як підставу для обговорення перевитрат</t>
  </si>
  <si>
    <t xml:space="preserve">A12</t>
  </si>
  <si>
    <t xml:space="preserve">Постачальники лічильників надають карту регістрів Modbus без платної підтримки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</si>
</sst>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%"/>
    <numFmt numFmtId="167" formatCode="#,##0.00"/>
    <numFmt numFmtId="168" formatCode="0.00"/>
    <numFmt numFmtId="169" formatCode="0.0%"/>
    <numFmt numFmtId="170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8F7"/>
        <bgColor rgb="FFCCFFFF"/>
      </patternFill>
    </fill>
    <fill>
      <patternFill patternType="solid">
        <fgColor rgb="FFFFF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9890"/>
      </left>
      <right style="thin">
        <color rgb="FF9A9890"/>
      </right>
      <top style="thin">
        <color rgb="FF9A9890"/>
      </top>
      <bottom style="thin">
        <color rgb="FF9A989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DCE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89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46.2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23.8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  <row r="8" customFormat="false" ht="23.8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  <row r="10" customFormat="false" ht="23.85" hidden="false" customHeight="false" outlineLevel="0" collapsed="false">
      <c r="A10" s="2" t="s">
        <v>18</v>
      </c>
      <c r="B10" s="2" t="s">
        <v>19</v>
      </c>
    </row>
    <row r="11" customFormat="false" ht="23.85" hidden="false" customHeight="false" outlineLevel="0" collapsed="false">
      <c r="A11" s="2" t="s">
        <v>20</v>
      </c>
      <c r="B11" s="2" t="s">
        <v>21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7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customFormat="false" ht="15" hidden="false" customHeight="false" outlineLevel="0" collapsed="false">
      <c r="A2" s="2" t="s">
        <v>28</v>
      </c>
      <c r="B2" s="2" t="s">
        <v>29</v>
      </c>
      <c r="C2" s="3" t="n">
        <v>12000</v>
      </c>
      <c r="D2" s="2" t="s">
        <v>30</v>
      </c>
      <c r="E2" s="2" t="s">
        <v>31</v>
      </c>
      <c r="F2" s="2" t="s">
        <v>32</v>
      </c>
    </row>
    <row r="3" customFormat="false" ht="15" hidden="false" customHeight="false" outlineLevel="0" collapsed="false">
      <c r="A3" s="2" t="s">
        <v>33</v>
      </c>
      <c r="B3" s="2" t="s">
        <v>34</v>
      </c>
      <c r="C3" s="3" t="n">
        <v>30</v>
      </c>
      <c r="D3" s="2" t="s">
        <v>35</v>
      </c>
      <c r="E3" s="2" t="s">
        <v>31</v>
      </c>
      <c r="F3" s="2" t="s">
        <v>36</v>
      </c>
    </row>
    <row r="4" customFormat="false" ht="15" hidden="false" customHeight="false" outlineLevel="0" collapsed="false">
      <c r="A4" s="2" t="s">
        <v>37</v>
      </c>
      <c r="B4" s="2" t="s">
        <v>38</v>
      </c>
      <c r="C4" s="3" t="n">
        <v>15</v>
      </c>
      <c r="D4" s="2" t="s">
        <v>39</v>
      </c>
      <c r="E4" s="2" t="s">
        <v>40</v>
      </c>
      <c r="F4" s="2" t="s">
        <v>41</v>
      </c>
    </row>
    <row r="5" customFormat="false" ht="15" hidden="false" customHeight="false" outlineLevel="0" collapsed="false">
      <c r="A5" s="2" t="s">
        <v>42</v>
      </c>
      <c r="B5" s="2" t="s">
        <v>43</v>
      </c>
      <c r="C5" s="3" t="n">
        <v>30</v>
      </c>
      <c r="D5" s="2" t="s">
        <v>44</v>
      </c>
      <c r="E5" s="2" t="s">
        <v>31</v>
      </c>
      <c r="F5" s="2" t="s">
        <v>45</v>
      </c>
    </row>
    <row r="6" customFormat="false" ht="15" hidden="false" customHeight="false" outlineLevel="0" collapsed="false">
      <c r="A6" s="2" t="s">
        <v>46</v>
      </c>
      <c r="B6" s="2" t="s">
        <v>47</v>
      </c>
      <c r="C6" s="3" t="n">
        <v>160</v>
      </c>
      <c r="D6" s="2" t="s">
        <v>48</v>
      </c>
      <c r="E6" s="2" t="s">
        <v>31</v>
      </c>
      <c r="F6" s="2" t="s">
        <v>49</v>
      </c>
    </row>
    <row r="7" customFormat="false" ht="15" hidden="false" customHeight="false" outlineLevel="0" collapsed="false">
      <c r="A7" s="2" t="s">
        <v>50</v>
      </c>
      <c r="B7" s="2" t="s">
        <v>51</v>
      </c>
      <c r="C7" s="3" t="n">
        <v>0.16</v>
      </c>
      <c r="D7" s="2" t="s">
        <v>52</v>
      </c>
      <c r="E7" s="2" t="s">
        <v>31</v>
      </c>
      <c r="F7" s="2" t="s">
        <v>53</v>
      </c>
    </row>
    <row r="8" customFormat="false" ht="15" hidden="false" customHeight="false" outlineLevel="0" collapsed="false">
      <c r="A8" s="2" t="s">
        <v>54</v>
      </c>
      <c r="B8" s="2" t="s">
        <v>55</v>
      </c>
      <c r="C8" s="3" t="n">
        <v>3</v>
      </c>
      <c r="D8" s="2" t="s">
        <v>56</v>
      </c>
      <c r="E8" s="2" t="s">
        <v>31</v>
      </c>
      <c r="F8" s="2" t="s">
        <v>57</v>
      </c>
    </row>
    <row r="9" customFormat="false" ht="15" hidden="false" customHeight="false" outlineLevel="0" collapsed="false">
      <c r="A9" s="2" t="s">
        <v>58</v>
      </c>
      <c r="B9" s="2" t="s">
        <v>59</v>
      </c>
      <c r="C9" s="3" t="n">
        <v>15</v>
      </c>
      <c r="D9" s="2" t="s">
        <v>60</v>
      </c>
      <c r="E9" s="2" t="s">
        <v>31</v>
      </c>
      <c r="F9" s="2" t="s">
        <v>61</v>
      </c>
    </row>
    <row r="10" customFormat="false" ht="15" hidden="false" customHeight="false" outlineLevel="0" collapsed="false">
      <c r="A10" s="2" t="s">
        <v>62</v>
      </c>
      <c r="B10" s="2" t="s">
        <v>63</v>
      </c>
      <c r="C10" s="3" t="n">
        <v>10</v>
      </c>
      <c r="D10" s="2" t="s">
        <v>64</v>
      </c>
      <c r="E10" s="2" t="s">
        <v>31</v>
      </c>
      <c r="F10" s="2" t="s">
        <v>65</v>
      </c>
    </row>
    <row r="11" customFormat="false" ht="23.85" hidden="false" customHeight="false" outlineLevel="0" collapsed="false">
      <c r="A11" s="2" t="s">
        <v>66</v>
      </c>
      <c r="B11" s="2" t="s">
        <v>67</v>
      </c>
      <c r="C11" s="3" t="n">
        <v>12</v>
      </c>
      <c r="D11" s="2" t="s">
        <v>44</v>
      </c>
      <c r="E11" s="2" t="s">
        <v>31</v>
      </c>
      <c r="F11" s="2" t="s">
        <v>68</v>
      </c>
    </row>
    <row r="12" customFormat="false" ht="15" hidden="false" customHeight="false" outlineLevel="0" collapsed="false">
      <c r="A12" s="2" t="s">
        <v>69</v>
      </c>
      <c r="B12" s="2" t="s">
        <v>70</v>
      </c>
      <c r="C12" s="3" t="n">
        <v>1</v>
      </c>
      <c r="D12" s="2" t="s">
        <v>71</v>
      </c>
      <c r="E12" s="2" t="s">
        <v>31</v>
      </c>
      <c r="F12" s="2" t="s">
        <v>72</v>
      </c>
    </row>
    <row r="13" customFormat="false" ht="15" hidden="false" customHeight="false" outlineLevel="0" collapsed="false">
      <c r="A13" s="2" t="s">
        <v>73</v>
      </c>
      <c r="B13" s="2" t="s">
        <v>74</v>
      </c>
      <c r="C13" s="3" t="n">
        <v>6</v>
      </c>
      <c r="D13" s="2" t="s">
        <v>75</v>
      </c>
      <c r="E13" s="2" t="s">
        <v>31</v>
      </c>
      <c r="F13" s="2" t="s">
        <v>76</v>
      </c>
    </row>
    <row r="14" customFormat="false" ht="15" hidden="false" customHeight="false" outlineLevel="0" collapsed="false">
      <c r="A14" s="2" t="s">
        <v>77</v>
      </c>
      <c r="B14" s="2" t="s">
        <v>78</v>
      </c>
      <c r="C14" s="3" t="n">
        <v>1.5</v>
      </c>
      <c r="D14" s="2" t="s">
        <v>75</v>
      </c>
      <c r="E14" s="2" t="s">
        <v>31</v>
      </c>
      <c r="F14" s="2" t="s">
        <v>79</v>
      </c>
    </row>
    <row r="15" customFormat="false" ht="15" hidden="false" customHeight="false" outlineLevel="0" collapsed="false">
      <c r="A15" s="2" t="s">
        <v>80</v>
      </c>
      <c r="B15" s="2" t="s">
        <v>81</v>
      </c>
      <c r="C15" s="3" t="n">
        <v>8</v>
      </c>
      <c r="D15" s="2" t="s">
        <v>82</v>
      </c>
      <c r="E15" s="2" t="s">
        <v>31</v>
      </c>
      <c r="F15" s="2" t="s">
        <v>83</v>
      </c>
    </row>
    <row r="16" customFormat="false" ht="15" hidden="false" customHeight="false" outlineLevel="0" collapsed="false">
      <c r="A16" s="2" t="s">
        <v>84</v>
      </c>
      <c r="B16" s="2" t="s">
        <v>85</v>
      </c>
      <c r="C16" s="3" t="n">
        <v>0.075</v>
      </c>
      <c r="D16" s="2" t="s">
        <v>86</v>
      </c>
      <c r="E16" s="2" t="s">
        <v>31</v>
      </c>
      <c r="F16" s="2" t="s">
        <v>87</v>
      </c>
    </row>
    <row r="17" customFormat="false" ht="15" hidden="false" customHeight="false" outlineLevel="0" collapsed="false">
      <c r="A17" s="2" t="s">
        <v>88</v>
      </c>
      <c r="B17" s="2" t="s">
        <v>89</v>
      </c>
      <c r="C17" s="3" t="n">
        <v>4</v>
      </c>
      <c r="D17" s="2" t="s">
        <v>90</v>
      </c>
      <c r="E17" s="2" t="s">
        <v>31</v>
      </c>
      <c r="F17" s="2" t="s">
        <v>91</v>
      </c>
    </row>
    <row r="18" customFormat="false" ht="15" hidden="false" customHeight="false" outlineLevel="0" collapsed="false">
      <c r="A18" s="2" t="s">
        <v>92</v>
      </c>
      <c r="B18" s="2" t="s">
        <v>93</v>
      </c>
      <c r="C18" s="3" t="n">
        <v>12</v>
      </c>
      <c r="D18" s="2" t="s">
        <v>94</v>
      </c>
      <c r="E18" s="2" t="s">
        <v>31</v>
      </c>
      <c r="F18" s="2" t="s">
        <v>95</v>
      </c>
    </row>
    <row r="19" customFormat="false" ht="15" hidden="false" customHeight="false" outlineLevel="0" collapsed="false">
      <c r="A19" s="2" t="s">
        <v>96</v>
      </c>
      <c r="B19" s="2" t="s">
        <v>97</v>
      </c>
      <c r="C19" s="3" t="n">
        <v>0.06</v>
      </c>
      <c r="D19" s="2" t="s">
        <v>86</v>
      </c>
      <c r="E19" s="2" t="s">
        <v>31</v>
      </c>
      <c r="F19" s="2" t="s">
        <v>98</v>
      </c>
    </row>
    <row r="20" customFormat="false" ht="15" hidden="false" customHeight="false" outlineLevel="0" collapsed="false">
      <c r="A20" s="2" t="s">
        <v>99</v>
      </c>
      <c r="B20" s="2" t="s">
        <v>100</v>
      </c>
      <c r="C20" s="3" t="n">
        <v>0.16</v>
      </c>
      <c r="D20" s="2" t="s">
        <v>101</v>
      </c>
      <c r="E20" s="2" t="s">
        <v>31</v>
      </c>
      <c r="F20" s="2" t="s">
        <v>102</v>
      </c>
    </row>
    <row r="21" customFormat="false" ht="15" hidden="false" customHeight="false" outlineLevel="0" collapsed="false">
      <c r="A21" s="2" t="s">
        <v>103</v>
      </c>
      <c r="B21" s="2" t="s">
        <v>104</v>
      </c>
      <c r="C21" s="3" t="n">
        <v>30</v>
      </c>
      <c r="D21" s="2" t="s">
        <v>82</v>
      </c>
      <c r="E21" s="2" t="s">
        <v>31</v>
      </c>
      <c r="F21" s="2" t="s">
        <v>105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3" t="n">
        <v>600</v>
      </c>
      <c r="D22" s="2" t="s">
        <v>90</v>
      </c>
      <c r="E22" s="2" t="s">
        <v>31</v>
      </c>
      <c r="F22" s="2" t="s">
        <v>108</v>
      </c>
    </row>
    <row r="23" customFormat="false" ht="23.85" hidden="false" customHeight="false" outlineLevel="0" collapsed="false">
      <c r="A23" s="2" t="s">
        <v>109</v>
      </c>
      <c r="B23" s="2" t="s">
        <v>110</v>
      </c>
      <c r="C23" s="3" t="n">
        <v>85</v>
      </c>
      <c r="D23" s="2" t="s">
        <v>111</v>
      </c>
      <c r="E23" s="2" t="s">
        <v>40</v>
      </c>
      <c r="F23" s="2" t="s">
        <v>112</v>
      </c>
    </row>
    <row r="24" customFormat="false" ht="23.85" hidden="false" customHeight="false" outlineLevel="0" collapsed="false">
      <c r="A24" s="2" t="s">
        <v>113</v>
      </c>
      <c r="B24" s="2" t="s">
        <v>114</v>
      </c>
      <c r="C24" s="3" t="n">
        <v>7</v>
      </c>
      <c r="D24" s="2" t="s">
        <v>115</v>
      </c>
      <c r="E24" s="2" t="s">
        <v>40</v>
      </c>
      <c r="F24" s="2" t="s">
        <v>112</v>
      </c>
    </row>
    <row r="25" customFormat="false" ht="23.85" hidden="false" customHeight="false" outlineLevel="0" collapsed="false">
      <c r="A25" s="2" t="s">
        <v>116</v>
      </c>
      <c r="B25" s="2" t="s">
        <v>117</v>
      </c>
      <c r="C25" s="3" t="n">
        <v>5</v>
      </c>
      <c r="D25" s="2" t="s">
        <v>118</v>
      </c>
      <c r="E25" s="2" t="s">
        <v>40</v>
      </c>
      <c r="F25" s="2" t="s">
        <v>119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3" t="n">
        <v>130</v>
      </c>
      <c r="D26" s="2" t="s">
        <v>90</v>
      </c>
      <c r="E26" s="2" t="s">
        <v>31</v>
      </c>
      <c r="F26" s="2" t="s">
        <v>122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32"/>
  </cols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123</v>
      </c>
    </row>
    <row r="2" customFormat="false" ht="15" hidden="false" customHeight="false" outlineLevel="0" collapsed="false">
      <c r="A2" s="2" t="s">
        <v>124</v>
      </c>
      <c r="B2" s="4" t="n">
        <f aca="false">1440/p_interval_min</f>
        <v>96</v>
      </c>
      <c r="C2" s="2" t="s">
        <v>35</v>
      </c>
      <c r="D2" s="2" t="s">
        <v>125</v>
      </c>
    </row>
    <row r="3" customFormat="false" ht="15" hidden="false" customHeight="false" outlineLevel="0" collapsed="false">
      <c r="A3" s="2" t="s">
        <v>126</v>
      </c>
      <c r="B3" s="4" t="n">
        <f aca="false">p_meters*B2*p_days_month</f>
        <v>86400</v>
      </c>
      <c r="C3" s="2" t="s">
        <v>35</v>
      </c>
      <c r="D3" s="2" t="s">
        <v>127</v>
      </c>
    </row>
    <row r="4" customFormat="false" ht="15" hidden="false" customHeight="false" outlineLevel="0" collapsed="false">
      <c r="A4" s="2" t="s">
        <v>128</v>
      </c>
      <c r="B4" s="4" t="n">
        <f aca="false">p_area_m2*p_kwh_m2_year</f>
        <v>1920000</v>
      </c>
      <c r="C4" s="2" t="s">
        <v>129</v>
      </c>
      <c r="D4" s="2" t="s">
        <v>130</v>
      </c>
    </row>
    <row r="5" customFormat="false" ht="15" hidden="false" customHeight="false" outlineLevel="0" collapsed="false">
      <c r="A5" s="2" t="s">
        <v>131</v>
      </c>
      <c r="B5" s="4" t="n">
        <f aca="false">B4*p_tariff</f>
        <v>307200</v>
      </c>
      <c r="C5" s="2" t="s">
        <v>86</v>
      </c>
      <c r="D5" s="2" t="s">
        <v>132</v>
      </c>
    </row>
    <row r="6" customFormat="false" ht="15" hidden="false" customHeight="false" outlineLevel="0" collapsed="false">
      <c r="A6" s="2" t="s">
        <v>133</v>
      </c>
      <c r="B6" s="4" t="n">
        <f aca="false">p_delta_kw*p_anomaly_hours_day*p_days_as_is*p_anomalies_month*12</f>
        <v>64800</v>
      </c>
      <c r="C6" s="2" t="s">
        <v>134</v>
      </c>
      <c r="D6" s="2" t="s">
        <v>135</v>
      </c>
    </row>
    <row r="7" customFormat="false" ht="15" hidden="false" customHeight="false" outlineLevel="0" collapsed="false">
      <c r="A7" s="2" t="s">
        <v>136</v>
      </c>
      <c r="B7" s="4" t="n">
        <f aca="false">p_delta_kw*p_anomaly_hours_day*p_days_to_be*p_anomalies_month*12</f>
        <v>5400</v>
      </c>
      <c r="C7" s="2" t="s">
        <v>134</v>
      </c>
      <c r="D7" s="2" t="s">
        <v>135</v>
      </c>
    </row>
    <row r="8" customFormat="false" ht="15" hidden="false" customHeight="false" outlineLevel="0" collapsed="false">
      <c r="A8" s="2" t="s">
        <v>137</v>
      </c>
      <c r="B8" s="5" t="n">
        <f aca="false">B6/B4</f>
        <v>0.03375</v>
      </c>
      <c r="C8" s="2" t="s">
        <v>138</v>
      </c>
      <c r="D8" s="2" t="s">
        <v>139</v>
      </c>
    </row>
    <row r="9" customFormat="false" ht="15" hidden="false" customHeight="false" outlineLevel="0" collapsed="false">
      <c r="A9" s="2" t="s">
        <v>140</v>
      </c>
      <c r="B9" s="4" t="n">
        <f aca="false">B6-B7</f>
        <v>59400</v>
      </c>
      <c r="C9" s="2" t="s">
        <v>134</v>
      </c>
      <c r="D9" s="2" t="s">
        <v>141</v>
      </c>
    </row>
    <row r="10" customFormat="false" ht="15" hidden="false" customHeight="false" outlineLevel="0" collapsed="false">
      <c r="A10" s="2" t="s">
        <v>142</v>
      </c>
      <c r="B10" s="5" t="n">
        <f aca="false">B9/B4</f>
        <v>0.0309375</v>
      </c>
      <c r="C10" s="2" t="s">
        <v>138</v>
      </c>
      <c r="D10" s="2" t="s">
        <v>143</v>
      </c>
    </row>
    <row r="11" customFormat="false" ht="15" hidden="false" customHeight="false" outlineLevel="0" collapsed="false">
      <c r="A11" s="2" t="s">
        <v>144</v>
      </c>
      <c r="B11" s="4" t="n">
        <f aca="false">B9*p_tariff</f>
        <v>9504</v>
      </c>
      <c r="C11" s="2" t="s">
        <v>145</v>
      </c>
      <c r="D11" s="2" t="s">
        <v>146</v>
      </c>
    </row>
    <row r="12" customFormat="false" ht="15" hidden="false" customHeight="false" outlineLevel="0" collapsed="false">
      <c r="A12" s="2" t="s">
        <v>147</v>
      </c>
      <c r="B12" s="4" t="n">
        <f aca="false">(p_tech_hours_as_is-p_tech_hours_to_be)*p_anomalies_month*12*p_tech_rate</f>
        <v>1296</v>
      </c>
      <c r="C12" s="2" t="s">
        <v>145</v>
      </c>
      <c r="D12" s="2" t="s">
        <v>148</v>
      </c>
    </row>
    <row r="13" customFormat="false" ht="15" hidden="false" customHeight="false" outlineLevel="0" collapsed="false">
      <c r="A13" s="2" t="s">
        <v>149</v>
      </c>
      <c r="B13" s="4" t="n">
        <f aca="false">B11+B12</f>
        <v>10800</v>
      </c>
      <c r="C13" s="2" t="s">
        <v>145</v>
      </c>
      <c r="D13" s="2" t="s">
        <v>150</v>
      </c>
    </row>
    <row r="14" customFormat="false" ht="15" hidden="false" customHeight="false" outlineLevel="0" collapsed="false">
      <c r="A14" s="2" t="s">
        <v>149</v>
      </c>
      <c r="B14" s="6" t="n">
        <f aca="false">B13/12</f>
        <v>900</v>
      </c>
      <c r="C14" s="2" t="s">
        <v>90</v>
      </c>
      <c r="D14" s="2" t="s">
        <v>151</v>
      </c>
    </row>
    <row r="15" customFormat="false" ht="15" hidden="false" customHeight="false" outlineLevel="0" collapsed="false">
      <c r="A15" s="2" t="s">
        <v>152</v>
      </c>
      <c r="B15" s="5" t="n">
        <f aca="false">p_price_hypothesis/B14</f>
        <v>0.144444444444444</v>
      </c>
      <c r="C15" s="2" t="s">
        <v>138</v>
      </c>
      <c r="D15" s="2" t="s">
        <v>153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7"/>
  </cols>
  <sheetData>
    <row r="1" customFormat="false" ht="35.05" hidden="false" customHeight="false" outlineLevel="0" collapsed="false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</row>
    <row r="2" customFormat="false" ht="15" hidden="false" customHeight="false" outlineLevel="0" collapsed="false">
      <c r="A2" s="2" t="s">
        <v>162</v>
      </c>
      <c r="B2" s="2"/>
      <c r="C2" s="3" t="n">
        <v>0.35</v>
      </c>
      <c r="D2" s="3" t="n">
        <v>0.25</v>
      </c>
      <c r="E2" s="3" t="n">
        <v>0.2</v>
      </c>
      <c r="F2" s="3" t="n">
        <v>0.2</v>
      </c>
      <c r="G2" s="7" t="n">
        <f aca="false">SUM(C2:F2)</f>
        <v>1</v>
      </c>
      <c r="H2" s="2"/>
    </row>
    <row r="3" customFormat="false" ht="23.85" hidden="false" customHeight="false" outlineLevel="0" collapsed="false">
      <c r="A3" s="2" t="s">
        <v>163</v>
      </c>
      <c r="B3" s="2" t="s">
        <v>164</v>
      </c>
      <c r="C3" s="3" t="n">
        <v>4</v>
      </c>
      <c r="D3" s="3" t="n">
        <v>5</v>
      </c>
      <c r="E3" s="3" t="n">
        <v>4</v>
      </c>
      <c r="F3" s="3" t="n">
        <v>4</v>
      </c>
      <c r="G3" s="7" t="n">
        <f aca="false">SUMPRODUCT($C$2:$F$2,C3:F3)</f>
        <v>4.25</v>
      </c>
      <c r="H3" s="7" t="n">
        <f aca="false">RANK(G3,$G$3:$G$6)</f>
        <v>1</v>
      </c>
    </row>
    <row r="4" customFormat="false" ht="23.85" hidden="false" customHeight="false" outlineLevel="0" collapsed="false">
      <c r="A4" s="2" t="s">
        <v>165</v>
      </c>
      <c r="B4" s="2" t="s">
        <v>166</v>
      </c>
      <c r="C4" s="3" t="n">
        <v>5</v>
      </c>
      <c r="D4" s="3" t="n">
        <v>4</v>
      </c>
      <c r="E4" s="3" t="n">
        <v>2</v>
      </c>
      <c r="F4" s="3" t="n">
        <v>3</v>
      </c>
      <c r="G4" s="7" t="n">
        <f aca="false">SUMPRODUCT($C$2:$F$2,C4:F4)</f>
        <v>3.75</v>
      </c>
      <c r="H4" s="7" t="n">
        <f aca="false">RANK(G4,$G$3:$G$6)</f>
        <v>2</v>
      </c>
    </row>
    <row r="5" customFormat="false" ht="15" hidden="false" customHeight="false" outlineLevel="0" collapsed="false">
      <c r="A5" s="2" t="s">
        <v>167</v>
      </c>
      <c r="B5" s="2" t="s">
        <v>168</v>
      </c>
      <c r="C5" s="3" t="n">
        <v>3</v>
      </c>
      <c r="D5" s="3" t="n">
        <v>3</v>
      </c>
      <c r="E5" s="3" t="n">
        <v>3</v>
      </c>
      <c r="F5" s="3" t="n">
        <v>3</v>
      </c>
      <c r="G5" s="7" t="n">
        <f aca="false">SUMPRODUCT($C$2:$F$2,C5:F5)</f>
        <v>3</v>
      </c>
      <c r="H5" s="7" t="n">
        <f aca="false">RANK(G5,$G$3:$G$6)</f>
        <v>3</v>
      </c>
    </row>
    <row r="6" customFormat="false" ht="23.85" hidden="false" customHeight="false" outlineLevel="0" collapsed="false">
      <c r="A6" s="2" t="s">
        <v>169</v>
      </c>
      <c r="B6" s="2" t="s">
        <v>170</v>
      </c>
      <c r="C6" s="3" t="n">
        <v>4</v>
      </c>
      <c r="D6" s="3" t="n">
        <v>3</v>
      </c>
      <c r="E6" s="3" t="n">
        <v>2</v>
      </c>
      <c r="F6" s="3" t="n">
        <v>1</v>
      </c>
      <c r="G6" s="7" t="n">
        <f aca="false">SUMPRODUCT($C$2:$F$2,C6:F6)</f>
        <v>2.75</v>
      </c>
      <c r="H6" s="7" t="n">
        <f aca="false">RANK(G6,$G$3:$G$6)</f>
        <v>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32"/>
    <col collapsed="false" customWidth="true" hidden="false" outlineLevel="0" max="9" min="9" style="0" width="30"/>
  </cols>
  <sheetData>
    <row r="1" customFormat="false" ht="23.85" hidden="false" customHeight="false" outlineLevel="0" collapsed="false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customFormat="false" ht="23.85" hidden="false" customHeight="false" outlineLevel="0" collapsed="false">
      <c r="A2" s="2" t="s">
        <v>180</v>
      </c>
      <c r="B2" s="2" t="s">
        <v>181</v>
      </c>
      <c r="C2" s="2" t="s">
        <v>182</v>
      </c>
      <c r="D2" s="7" t="n">
        <v>4</v>
      </c>
      <c r="E2" s="7" t="n">
        <v>5</v>
      </c>
      <c r="F2" s="7" t="n">
        <f aca="false">D2*E2</f>
        <v>20</v>
      </c>
      <c r="G2" s="7" t="str">
        <f aca="false">IF(AND(D2&gt;=4,E2&gt;=4),"керувати тісно",IF(D2&gt;=4,"задовольняти",IF(E2&gt;=4,"інформувати","спостерігати")))</f>
        <v>керувати тісно</v>
      </c>
      <c r="H2" s="2" t="s">
        <v>183</v>
      </c>
      <c r="I2" s="2" t="s">
        <v>184</v>
      </c>
    </row>
    <row r="3" customFormat="false" ht="23.85" hidden="false" customHeight="false" outlineLevel="0" collapsed="false">
      <c r="A3" s="2" t="s">
        <v>185</v>
      </c>
      <c r="B3" s="2" t="s">
        <v>186</v>
      </c>
      <c r="C3" s="2" t="s">
        <v>187</v>
      </c>
      <c r="D3" s="7" t="n">
        <v>2</v>
      </c>
      <c r="E3" s="7" t="n">
        <v>4</v>
      </c>
      <c r="F3" s="7" t="n">
        <f aca="false">D3*E3</f>
        <v>8</v>
      </c>
      <c r="G3" s="7" t="str">
        <f aca="false">IF(AND(D3&gt;=4,E3&gt;=4),"керувати тісно",IF(D3&gt;=4,"задовольняти",IF(E3&gt;=4,"інформувати","спостерігати")))</f>
        <v>інформувати</v>
      </c>
      <c r="H3" s="2" t="s">
        <v>188</v>
      </c>
      <c r="I3" s="2" t="s">
        <v>189</v>
      </c>
    </row>
    <row r="4" customFormat="false" ht="35.05" hidden="false" customHeight="false" outlineLevel="0" collapsed="false">
      <c r="A4" s="2" t="s">
        <v>190</v>
      </c>
      <c r="B4" s="2" t="s">
        <v>191</v>
      </c>
      <c r="C4" s="2" t="s">
        <v>192</v>
      </c>
      <c r="D4" s="7" t="n">
        <v>5</v>
      </c>
      <c r="E4" s="7" t="n">
        <v>4</v>
      </c>
      <c r="F4" s="7" t="n">
        <f aca="false">D4*E4</f>
        <v>20</v>
      </c>
      <c r="G4" s="7" t="str">
        <f aca="false">IF(AND(D4&gt;=4,E4&gt;=4),"керувати тісно",IF(D4&gt;=4,"задовольняти",IF(E4&gt;=4,"інформувати","спостерігати")))</f>
        <v>керувати тісно</v>
      </c>
      <c r="H4" s="2" t="s">
        <v>193</v>
      </c>
      <c r="I4" s="2" t="s">
        <v>194</v>
      </c>
    </row>
    <row r="5" customFormat="false" ht="35.05" hidden="false" customHeight="false" outlineLevel="0" collapsed="false">
      <c r="A5" s="2" t="s">
        <v>195</v>
      </c>
      <c r="B5" s="2" t="s">
        <v>196</v>
      </c>
      <c r="C5" s="2" t="s">
        <v>197</v>
      </c>
      <c r="D5" s="7" t="n">
        <v>4</v>
      </c>
      <c r="E5" s="7" t="n">
        <v>4</v>
      </c>
      <c r="F5" s="7" t="n">
        <f aca="false">D5*E5</f>
        <v>16</v>
      </c>
      <c r="G5" s="7" t="str">
        <f aca="false">IF(AND(D5&gt;=4,E5&gt;=4),"керувати тісно",IF(D5&gt;=4,"задовольняти",IF(E5&gt;=4,"інформувати","спостерігати")))</f>
        <v>керувати тісно</v>
      </c>
      <c r="H5" s="2" t="s">
        <v>198</v>
      </c>
      <c r="I5" s="2" t="s">
        <v>199</v>
      </c>
    </row>
    <row r="6" customFormat="false" ht="35.05" hidden="false" customHeight="false" outlineLevel="0" collapsed="false">
      <c r="A6" s="2" t="s">
        <v>200</v>
      </c>
      <c r="B6" s="2" t="s">
        <v>201</v>
      </c>
      <c r="C6" s="2" t="s">
        <v>202</v>
      </c>
      <c r="D6" s="7" t="n">
        <v>3</v>
      </c>
      <c r="E6" s="7" t="n">
        <v>3</v>
      </c>
      <c r="F6" s="7" t="n">
        <f aca="false">D6*E6</f>
        <v>9</v>
      </c>
      <c r="G6" s="7" t="str">
        <f aca="false">IF(AND(D6&gt;=4,E6&gt;=4),"керувати тісно",IF(D6&gt;=4,"задовольняти",IF(E6&gt;=4,"інформувати","спостерігати")))</f>
        <v>спостерігати</v>
      </c>
      <c r="H6" s="2" t="s">
        <v>203</v>
      </c>
      <c r="I6" s="2" t="s">
        <v>204</v>
      </c>
    </row>
    <row r="7" customFormat="false" ht="23.85" hidden="false" customHeight="false" outlineLevel="0" collapsed="false">
      <c r="A7" s="2" t="s">
        <v>205</v>
      </c>
      <c r="B7" s="2" t="s">
        <v>206</v>
      </c>
      <c r="C7" s="2" t="s">
        <v>207</v>
      </c>
      <c r="D7" s="7" t="n">
        <v>3</v>
      </c>
      <c r="E7" s="7" t="n">
        <v>2</v>
      </c>
      <c r="F7" s="7" t="n">
        <f aca="false">D7*E7</f>
        <v>6</v>
      </c>
      <c r="G7" s="7" t="str">
        <f aca="false">IF(AND(D7&gt;=4,E7&gt;=4),"керувати тісно",IF(D7&gt;=4,"задовольняти",IF(E7&gt;=4,"інформувати","спостерігати")))</f>
        <v>спостерігати</v>
      </c>
      <c r="H7" s="2" t="s">
        <v>208</v>
      </c>
      <c r="I7" s="2" t="s">
        <v>209</v>
      </c>
    </row>
    <row r="8" customFormat="false" ht="23.85" hidden="false" customHeight="false" outlineLevel="0" collapsed="false">
      <c r="A8" s="2" t="s">
        <v>210</v>
      </c>
      <c r="B8" s="2" t="s">
        <v>211</v>
      </c>
      <c r="C8" s="2" t="s">
        <v>212</v>
      </c>
      <c r="D8" s="7" t="n">
        <v>2</v>
      </c>
      <c r="E8" s="7" t="n">
        <v>1</v>
      </c>
      <c r="F8" s="7" t="n">
        <f aca="false">D8*E8</f>
        <v>2</v>
      </c>
      <c r="G8" s="7" t="str">
        <f aca="false">IF(AND(D8&gt;=4,E8&gt;=4),"керувати тісно",IF(D8&gt;=4,"задовольняти",IF(E8&gt;=4,"інформувати","спостерігати")))</f>
        <v>спостерігати</v>
      </c>
      <c r="H8" s="2" t="s">
        <v>213</v>
      </c>
      <c r="I8" s="2" t="s">
        <v>214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23.85" hidden="false" customHeight="false" outlineLevel="0" collapsed="false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</row>
    <row r="2" customFormat="false" ht="23.85" hidden="false" customHeight="false" outlineLevel="0" collapsed="false">
      <c r="A2" s="2" t="s">
        <v>222</v>
      </c>
      <c r="B2" s="2" t="s">
        <v>223</v>
      </c>
      <c r="C2" s="2" t="s">
        <v>224</v>
      </c>
      <c r="D2" s="2" t="s">
        <v>225</v>
      </c>
      <c r="E2" s="2" t="s">
        <v>226</v>
      </c>
      <c r="F2" s="2" t="s">
        <v>227</v>
      </c>
      <c r="G2" s="2" t="s">
        <v>228</v>
      </c>
    </row>
    <row r="3" customFormat="false" ht="23.85" hidden="false" customHeight="false" outlineLevel="0" collapsed="false">
      <c r="A3" s="2" t="s">
        <v>222</v>
      </c>
      <c r="B3" s="2" t="s">
        <v>229</v>
      </c>
      <c r="C3" s="2" t="s">
        <v>230</v>
      </c>
      <c r="D3" s="2" t="s">
        <v>225</v>
      </c>
      <c r="E3" s="2" t="s">
        <v>226</v>
      </c>
      <c r="F3" s="2" t="s">
        <v>227</v>
      </c>
      <c r="G3" s="2" t="s">
        <v>228</v>
      </c>
    </row>
    <row r="4" customFormat="false" ht="23.85" hidden="false" customHeight="false" outlineLevel="0" collapsed="false">
      <c r="A4" s="2" t="s">
        <v>222</v>
      </c>
      <c r="B4" s="2" t="s">
        <v>231</v>
      </c>
      <c r="C4" s="2" t="s">
        <v>232</v>
      </c>
      <c r="D4" s="2" t="s">
        <v>225</v>
      </c>
      <c r="E4" s="2" t="s">
        <v>226</v>
      </c>
      <c r="F4" s="2" t="s">
        <v>227</v>
      </c>
      <c r="G4" s="2" t="s">
        <v>228</v>
      </c>
    </row>
    <row r="5" customFormat="false" ht="23.85" hidden="false" customHeight="false" outlineLevel="0" collapsed="false">
      <c r="A5" s="2" t="s">
        <v>222</v>
      </c>
      <c r="B5" s="2" t="s">
        <v>233</v>
      </c>
      <c r="C5" s="2" t="s">
        <v>234</v>
      </c>
      <c r="D5" s="2" t="s">
        <v>225</v>
      </c>
      <c r="E5" s="2" t="s">
        <v>226</v>
      </c>
      <c r="F5" s="2" t="s">
        <v>235</v>
      </c>
      <c r="G5" s="2" t="s">
        <v>228</v>
      </c>
    </row>
    <row r="6" customFormat="false" ht="35.05" hidden="false" customHeight="false" outlineLevel="0" collapsed="false">
      <c r="A6" s="2" t="s">
        <v>236</v>
      </c>
      <c r="B6" s="2" t="s">
        <v>237</v>
      </c>
      <c r="C6" s="2" t="s">
        <v>238</v>
      </c>
      <c r="D6" s="2" t="s">
        <v>225</v>
      </c>
      <c r="E6" s="2" t="s">
        <v>226</v>
      </c>
      <c r="F6" s="2" t="s">
        <v>235</v>
      </c>
      <c r="G6" s="2" t="s">
        <v>228</v>
      </c>
    </row>
    <row r="7" customFormat="false" ht="15" hidden="false" customHeight="false" outlineLevel="0" collapsed="false">
      <c r="A7" s="2" t="s">
        <v>236</v>
      </c>
      <c r="B7" s="2" t="s">
        <v>239</v>
      </c>
      <c r="C7" s="2" t="s">
        <v>240</v>
      </c>
      <c r="D7" s="2" t="s">
        <v>225</v>
      </c>
      <c r="E7" s="2" t="s">
        <v>226</v>
      </c>
      <c r="F7" s="2" t="s">
        <v>227</v>
      </c>
      <c r="G7" s="2" t="s">
        <v>228</v>
      </c>
    </row>
    <row r="8" customFormat="false" ht="23.85" hidden="false" customHeight="false" outlineLevel="0" collapsed="false">
      <c r="A8" s="2" t="s">
        <v>236</v>
      </c>
      <c r="B8" s="2" t="s">
        <v>241</v>
      </c>
      <c r="C8" s="2" t="s">
        <v>242</v>
      </c>
      <c r="D8" s="2" t="s">
        <v>225</v>
      </c>
      <c r="E8" s="2" t="s">
        <v>226</v>
      </c>
      <c r="F8" s="2" t="s">
        <v>235</v>
      </c>
      <c r="G8" s="2" t="s">
        <v>228</v>
      </c>
    </row>
    <row r="9" customFormat="false" ht="15" hidden="false" customHeight="false" outlineLevel="0" collapsed="false">
      <c r="A9" s="2" t="s">
        <v>236</v>
      </c>
      <c r="B9" s="2" t="s">
        <v>243</v>
      </c>
      <c r="C9" s="2" t="s">
        <v>244</v>
      </c>
      <c r="D9" s="2" t="s">
        <v>245</v>
      </c>
      <c r="E9" s="2" t="s">
        <v>246</v>
      </c>
      <c r="F9" s="2" t="s">
        <v>227</v>
      </c>
      <c r="G9" s="2" t="s">
        <v>247</v>
      </c>
    </row>
    <row r="10" customFormat="false" ht="23.85" hidden="false" customHeight="false" outlineLevel="0" collapsed="false">
      <c r="A10" s="2" t="s">
        <v>248</v>
      </c>
      <c r="B10" s="2" t="s">
        <v>249</v>
      </c>
      <c r="C10" s="2" t="s">
        <v>250</v>
      </c>
      <c r="D10" s="2" t="s">
        <v>225</v>
      </c>
      <c r="E10" s="2" t="s">
        <v>246</v>
      </c>
      <c r="F10" s="2" t="s">
        <v>235</v>
      </c>
      <c r="G10" s="2" t="s">
        <v>247</v>
      </c>
    </row>
    <row r="11" customFormat="false" ht="23.85" hidden="false" customHeight="false" outlineLevel="0" collapsed="false">
      <c r="A11" s="2" t="s">
        <v>248</v>
      </c>
      <c r="B11" s="2" t="s">
        <v>251</v>
      </c>
      <c r="C11" s="2" t="s">
        <v>252</v>
      </c>
      <c r="D11" s="2" t="s">
        <v>225</v>
      </c>
      <c r="E11" s="2" t="s">
        <v>246</v>
      </c>
      <c r="F11" s="2" t="s">
        <v>227</v>
      </c>
      <c r="G11" s="2" t="s">
        <v>247</v>
      </c>
    </row>
    <row r="12" customFormat="false" ht="15" hidden="false" customHeight="false" outlineLevel="0" collapsed="false">
      <c r="A12" s="2" t="s">
        <v>248</v>
      </c>
      <c r="B12" s="2" t="s">
        <v>253</v>
      </c>
      <c r="C12" s="2" t="s">
        <v>254</v>
      </c>
      <c r="D12" s="2" t="s">
        <v>225</v>
      </c>
      <c r="E12" s="2" t="s">
        <v>246</v>
      </c>
      <c r="F12" s="2" t="s">
        <v>227</v>
      </c>
      <c r="G12" s="2" t="s">
        <v>247</v>
      </c>
    </row>
    <row r="13" customFormat="false" ht="23.85" hidden="false" customHeight="false" outlineLevel="0" collapsed="false">
      <c r="A13" s="2" t="s">
        <v>248</v>
      </c>
      <c r="B13" s="2" t="s">
        <v>255</v>
      </c>
      <c r="C13" s="2" t="s">
        <v>256</v>
      </c>
      <c r="D13" s="2" t="s">
        <v>225</v>
      </c>
      <c r="E13" s="2" t="s">
        <v>246</v>
      </c>
      <c r="F13" s="2" t="s">
        <v>227</v>
      </c>
      <c r="G13" s="2" t="s">
        <v>247</v>
      </c>
    </row>
    <row r="14" customFormat="false" ht="35.05" hidden="false" customHeight="false" outlineLevel="0" collapsed="false">
      <c r="A14" s="2" t="s">
        <v>248</v>
      </c>
      <c r="B14" s="2" t="s">
        <v>257</v>
      </c>
      <c r="C14" s="2" t="s">
        <v>258</v>
      </c>
      <c r="D14" s="2" t="s">
        <v>225</v>
      </c>
      <c r="E14" s="2" t="s">
        <v>246</v>
      </c>
      <c r="F14" s="2" t="s">
        <v>235</v>
      </c>
      <c r="G14" s="2" t="s">
        <v>247</v>
      </c>
    </row>
    <row r="15" customFormat="false" ht="23.85" hidden="false" customHeight="false" outlineLevel="0" collapsed="false">
      <c r="A15" s="2" t="s">
        <v>248</v>
      </c>
      <c r="B15" s="2" t="s">
        <v>259</v>
      </c>
      <c r="C15" s="2" t="s">
        <v>260</v>
      </c>
      <c r="D15" s="2" t="s">
        <v>245</v>
      </c>
      <c r="E15" s="2" t="s">
        <v>246</v>
      </c>
      <c r="F15" s="2" t="s">
        <v>235</v>
      </c>
      <c r="G15" s="2" t="s">
        <v>247</v>
      </c>
    </row>
    <row r="16" customFormat="false" ht="23.85" hidden="false" customHeight="false" outlineLevel="0" collapsed="false">
      <c r="A16" s="2" t="s">
        <v>261</v>
      </c>
      <c r="B16" s="2" t="s">
        <v>262</v>
      </c>
      <c r="C16" s="2" t="s">
        <v>263</v>
      </c>
      <c r="D16" s="2" t="s">
        <v>225</v>
      </c>
      <c r="E16" s="2" t="s">
        <v>226</v>
      </c>
      <c r="F16" s="2" t="s">
        <v>227</v>
      </c>
      <c r="G16" s="2" t="s">
        <v>247</v>
      </c>
    </row>
    <row r="17" customFormat="false" ht="15" hidden="false" customHeight="false" outlineLevel="0" collapsed="false">
      <c r="A17" s="2" t="s">
        <v>261</v>
      </c>
      <c r="B17" s="2" t="s">
        <v>264</v>
      </c>
      <c r="C17" s="2" t="s">
        <v>265</v>
      </c>
      <c r="D17" s="2" t="s">
        <v>225</v>
      </c>
      <c r="E17" s="2" t="s">
        <v>226</v>
      </c>
      <c r="F17" s="2" t="s">
        <v>227</v>
      </c>
      <c r="G17" s="2" t="s">
        <v>247</v>
      </c>
    </row>
    <row r="18" customFormat="false" ht="15" hidden="false" customHeight="false" outlineLevel="0" collapsed="false">
      <c r="A18" s="2" t="s">
        <v>261</v>
      </c>
      <c r="B18" s="2" t="s">
        <v>266</v>
      </c>
      <c r="C18" s="2" t="s">
        <v>267</v>
      </c>
      <c r="D18" s="2" t="s">
        <v>225</v>
      </c>
      <c r="E18" s="2" t="s">
        <v>226</v>
      </c>
      <c r="F18" s="2" t="s">
        <v>235</v>
      </c>
      <c r="G18" s="2" t="s">
        <v>247</v>
      </c>
    </row>
    <row r="19" customFormat="false" ht="15" hidden="false" customHeight="false" outlineLevel="0" collapsed="false">
      <c r="A19" s="2" t="s">
        <v>261</v>
      </c>
      <c r="B19" s="2" t="s">
        <v>268</v>
      </c>
      <c r="C19" s="2" t="s">
        <v>269</v>
      </c>
      <c r="D19" s="2" t="s">
        <v>245</v>
      </c>
      <c r="E19" s="2" t="s">
        <v>226</v>
      </c>
      <c r="F19" s="2" t="s">
        <v>227</v>
      </c>
      <c r="G19" s="2" t="s">
        <v>247</v>
      </c>
    </row>
    <row r="21" customFormat="false" ht="15" hidden="false" customHeight="false" outlineLevel="0" collapsed="false">
      <c r="A21" s="2" t="s">
        <v>270</v>
      </c>
      <c r="B21" s="7" t="n">
        <f aca="false">COUNTA(A2:A19)</f>
        <v>18</v>
      </c>
    </row>
    <row r="22" customFormat="false" ht="15" hidden="false" customHeight="false" outlineLevel="0" collapsed="false">
      <c r="A22" s="2" t="s">
        <v>222</v>
      </c>
      <c r="B22" s="7" t="n">
        <f aca="false">COUNTIF($A$2:$A$19,A22)</f>
        <v>4</v>
      </c>
    </row>
    <row r="23" customFormat="false" ht="15" hidden="false" customHeight="false" outlineLevel="0" collapsed="false">
      <c r="A23" s="2" t="s">
        <v>236</v>
      </c>
      <c r="B23" s="7" t="n">
        <f aca="false">COUNTIF($A$2:$A$19,A23)</f>
        <v>4</v>
      </c>
    </row>
    <row r="24" customFormat="false" ht="15" hidden="false" customHeight="false" outlineLevel="0" collapsed="false">
      <c r="A24" s="2" t="s">
        <v>248</v>
      </c>
      <c r="B24" s="7" t="n">
        <f aca="false">COUNTIF($A$2:$A$19,A24)</f>
        <v>6</v>
      </c>
    </row>
    <row r="25" customFormat="false" ht="15" hidden="false" customHeight="false" outlineLevel="0" collapsed="false">
      <c r="A25" s="2" t="s">
        <v>261</v>
      </c>
      <c r="B25" s="7" t="n">
        <f aca="false">COUNTIF($A$2:$A$19,A25)</f>
        <v>4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271</v>
      </c>
      <c r="B1" s="1" t="s">
        <v>272</v>
      </c>
      <c r="C1" s="1" t="s">
        <v>86</v>
      </c>
    </row>
    <row r="2" customFormat="false" ht="15" hidden="false" customHeight="false" outlineLevel="0" collapsed="false">
      <c r="A2" s="2" t="s">
        <v>251</v>
      </c>
      <c r="B2" s="2" t="s">
        <v>273</v>
      </c>
      <c r="C2" s="8" t="n">
        <f aca="false">Цінність!B3/1000*p_cost_per_1000</f>
        <v>6.48</v>
      </c>
    </row>
    <row r="3" customFormat="false" ht="15" hidden="false" customHeight="false" outlineLevel="0" collapsed="false">
      <c r="A3" s="2" t="s">
        <v>89</v>
      </c>
      <c r="B3" s="2" t="s">
        <v>274</v>
      </c>
      <c r="C3" s="8" t="n">
        <f aca="false">p_sim_month</f>
        <v>4</v>
      </c>
    </row>
    <row r="4" customFormat="false" ht="15" hidden="false" customHeight="false" outlineLevel="0" collapsed="false">
      <c r="A4" s="2" t="s">
        <v>275</v>
      </c>
      <c r="B4" s="2" t="s">
        <v>276</v>
      </c>
      <c r="C4" s="8" t="n">
        <f aca="false">p_alerts_month*p_alert_price</f>
        <v>0.72</v>
      </c>
    </row>
    <row r="5" customFormat="false" ht="15" hidden="false" customHeight="false" outlineLevel="0" collapsed="false">
      <c r="A5" s="2" t="s">
        <v>277</v>
      </c>
      <c r="B5" s="2" t="s">
        <v>278</v>
      </c>
      <c r="C5" s="8" t="n">
        <f aca="false">p_support_hours*p_support_rate</f>
        <v>4.8</v>
      </c>
    </row>
    <row r="6" customFormat="false" ht="15" hidden="false" customHeight="false" outlineLevel="0" collapsed="false">
      <c r="A6" s="2" t="s">
        <v>279</v>
      </c>
      <c r="B6" s="2" t="s">
        <v>150</v>
      </c>
      <c r="C6" s="8" t="n">
        <f aca="false">SUM(C2:C5)</f>
        <v>16</v>
      </c>
    </row>
    <row r="7" customFormat="false" ht="15" hidden="false" customHeight="false" outlineLevel="0" collapsed="false">
      <c r="A7" s="2" t="s">
        <v>280</v>
      </c>
      <c r="B7" s="2" t="s">
        <v>281</v>
      </c>
      <c r="C7" s="8" t="n">
        <f aca="false">p_fixed_platform</f>
        <v>600</v>
      </c>
    </row>
    <row r="9" customFormat="false" ht="15" hidden="false" customHeight="false" outlineLevel="0" collapsed="false">
      <c r="A9" s="1" t="s">
        <v>282</v>
      </c>
      <c r="B9" s="1" t="s">
        <v>283</v>
      </c>
      <c r="C9" s="1" t="s">
        <v>284</v>
      </c>
      <c r="D9" s="1" t="s">
        <v>285</v>
      </c>
    </row>
    <row r="10" customFormat="false" ht="15" hidden="false" customHeight="false" outlineLevel="0" collapsed="false">
      <c r="A10" s="7" t="n">
        <v>5</v>
      </c>
      <c r="B10" s="6" t="n">
        <f aca="false">f_fixed+v_unit*A10</f>
        <v>680</v>
      </c>
      <c r="C10" s="8" t="n">
        <f aca="false">B10/A10</f>
        <v>136</v>
      </c>
      <c r="D10" s="9" t="n">
        <f aca="false">f_fixed/B10</f>
        <v>0.882352941176471</v>
      </c>
    </row>
    <row r="11" customFormat="false" ht="15" hidden="false" customHeight="false" outlineLevel="0" collapsed="false">
      <c r="A11" s="7" t="n">
        <v>10</v>
      </c>
      <c r="B11" s="6" t="n">
        <f aca="false">f_fixed+v_unit*A11</f>
        <v>760</v>
      </c>
      <c r="C11" s="8" t="n">
        <f aca="false">B11/A11</f>
        <v>76</v>
      </c>
      <c r="D11" s="9" t="n">
        <f aca="false">f_fixed/B11</f>
        <v>0.789473684210526</v>
      </c>
    </row>
    <row r="12" customFormat="false" ht="15" hidden="false" customHeight="false" outlineLevel="0" collapsed="false">
      <c r="A12" s="7" t="n">
        <v>20</v>
      </c>
      <c r="B12" s="6" t="n">
        <f aca="false">f_fixed+v_unit*A12</f>
        <v>920</v>
      </c>
      <c r="C12" s="8" t="n">
        <f aca="false">B12/A12</f>
        <v>46</v>
      </c>
      <c r="D12" s="9" t="n">
        <f aca="false">f_fixed/B12</f>
        <v>0.652173913043478</v>
      </c>
    </row>
    <row r="13" customFormat="false" ht="15" hidden="false" customHeight="false" outlineLevel="0" collapsed="false">
      <c r="A13" s="7" t="n">
        <v>30</v>
      </c>
      <c r="B13" s="6" t="n">
        <f aca="false">f_fixed+v_unit*A13</f>
        <v>1080</v>
      </c>
      <c r="C13" s="8" t="n">
        <f aca="false">B13/A13</f>
        <v>36</v>
      </c>
      <c r="D13" s="9" t="n">
        <f aca="false">f_fixed/B13</f>
        <v>0.555555555555556</v>
      </c>
    </row>
    <row r="14" customFormat="false" ht="15" hidden="false" customHeight="false" outlineLevel="0" collapsed="false">
      <c r="A14" s="7" t="n">
        <v>40</v>
      </c>
      <c r="B14" s="6" t="n">
        <f aca="false">f_fixed+v_unit*A14</f>
        <v>1240</v>
      </c>
      <c r="C14" s="8" t="n">
        <f aca="false">B14/A14</f>
        <v>31</v>
      </c>
      <c r="D14" s="9" t="n">
        <f aca="false">f_fixed/B14</f>
        <v>0.483870967741936</v>
      </c>
    </row>
    <row r="15" customFormat="false" ht="15" hidden="false" customHeight="false" outlineLevel="0" collapsed="false">
      <c r="A15" s="7" t="n">
        <v>50</v>
      </c>
      <c r="B15" s="6" t="n">
        <f aca="false">f_fixed+v_unit*A15</f>
        <v>1400</v>
      </c>
      <c r="C15" s="8" t="n">
        <f aca="false">B15/A15</f>
        <v>28</v>
      </c>
      <c r="D15" s="9" t="n">
        <f aca="false">f_fixed/B15</f>
        <v>0.428571428571429</v>
      </c>
    </row>
    <row r="16" customFormat="false" ht="15" hidden="false" customHeight="false" outlineLevel="0" collapsed="false">
      <c r="A16" s="7" t="n">
        <v>60</v>
      </c>
      <c r="B16" s="6" t="n">
        <f aca="false">f_fixed+v_unit*A16</f>
        <v>1560</v>
      </c>
      <c r="C16" s="8" t="n">
        <f aca="false">B16/A16</f>
        <v>26</v>
      </c>
      <c r="D16" s="9" t="n">
        <f aca="false">f_fixed/B16</f>
        <v>0.384615384615385</v>
      </c>
    </row>
    <row r="17" customFormat="false" ht="15" hidden="false" customHeight="false" outlineLevel="0" collapsed="false">
      <c r="A17" s="7" t="n">
        <v>70</v>
      </c>
      <c r="B17" s="6" t="n">
        <f aca="false">f_fixed+v_unit*A17</f>
        <v>1720</v>
      </c>
      <c r="C17" s="8" t="n">
        <f aca="false">B17/A17</f>
        <v>24.5714285714286</v>
      </c>
      <c r="D17" s="9" t="n">
        <f aca="false">f_fixed/B17</f>
        <v>0.348837209302326</v>
      </c>
    </row>
    <row r="18" customFormat="false" ht="15" hidden="false" customHeight="false" outlineLevel="0" collapsed="false">
      <c r="A18" s="7" t="n">
        <v>85</v>
      </c>
      <c r="B18" s="6" t="n">
        <f aca="false">f_fixed+v_unit*A18</f>
        <v>1960</v>
      </c>
      <c r="C18" s="8" t="n">
        <f aca="false">B18/A18</f>
        <v>23.0588235294118</v>
      </c>
      <c r="D18" s="9" t="n">
        <f aca="false">f_fixed/B18</f>
        <v>0.306122448979592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60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9" min="8" style="0" width="7"/>
  </cols>
  <sheetData>
    <row r="1" customFormat="false" ht="23.85" hidden="false" customHeight="false" outlineLevel="0" collapsed="false">
      <c r="A1" s="1" t="s">
        <v>286</v>
      </c>
      <c r="B1" s="1" t="s">
        <v>287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161</v>
      </c>
      <c r="I1" s="1" t="s">
        <v>293</v>
      </c>
    </row>
    <row r="2" customFormat="false" ht="35.05" hidden="false" customHeight="false" outlineLevel="0" collapsed="false">
      <c r="A2" s="2" t="s">
        <v>294</v>
      </c>
      <c r="B2" s="2" t="s">
        <v>295</v>
      </c>
      <c r="C2" s="2" t="s">
        <v>296</v>
      </c>
      <c r="D2" s="3" t="n">
        <v>5</v>
      </c>
      <c r="E2" s="3" t="n">
        <v>4</v>
      </c>
      <c r="F2" s="7" t="n">
        <f aca="false">D2*E2</f>
        <v>20</v>
      </c>
      <c r="G2" s="10" t="n">
        <f aca="false">F2*100+D2*10+(100-ROW())/1000</f>
        <v>2050.098</v>
      </c>
      <c r="H2" s="7" t="n">
        <f aca="false">RANK(G2,$G$2:$G$13)</f>
        <v>1</v>
      </c>
      <c r="I2" s="7" t="str">
        <f aca="false">IF(H2&lt;=5,"так","ні")</f>
        <v>так</v>
      </c>
    </row>
    <row r="3" customFormat="false" ht="23.85" hidden="false" customHeight="false" outlineLevel="0" collapsed="false">
      <c r="A3" s="2" t="s">
        <v>297</v>
      </c>
      <c r="B3" s="2" t="s">
        <v>298</v>
      </c>
      <c r="C3" s="2" t="s">
        <v>299</v>
      </c>
      <c r="D3" s="3" t="n">
        <v>5</v>
      </c>
      <c r="E3" s="3" t="n">
        <v>4</v>
      </c>
      <c r="F3" s="7" t="n">
        <f aca="false">D3*E3</f>
        <v>20</v>
      </c>
      <c r="G3" s="10" t="n">
        <f aca="false">F3*100+D3*10+(100-ROW())/1000</f>
        <v>2050.097</v>
      </c>
      <c r="H3" s="7" t="n">
        <f aca="false">RANK(G3,$G$2:$G$13)</f>
        <v>2</v>
      </c>
      <c r="I3" s="7" t="str">
        <f aca="false">IF(H3&lt;=5,"так","ні")</f>
        <v>так</v>
      </c>
    </row>
    <row r="4" customFormat="false" ht="23.85" hidden="false" customHeight="false" outlineLevel="0" collapsed="false">
      <c r="A4" s="2" t="s">
        <v>300</v>
      </c>
      <c r="B4" s="2" t="s">
        <v>301</v>
      </c>
      <c r="C4" s="2" t="s">
        <v>302</v>
      </c>
      <c r="D4" s="3" t="n">
        <v>4</v>
      </c>
      <c r="E4" s="3" t="n">
        <v>4</v>
      </c>
      <c r="F4" s="7" t="n">
        <f aca="false">D4*E4</f>
        <v>16</v>
      </c>
      <c r="G4" s="10" t="n">
        <f aca="false">F4*100+D4*10+(100-ROW())/1000</f>
        <v>1640.096</v>
      </c>
      <c r="H4" s="7" t="n">
        <f aca="false">RANK(G4,$G$2:$G$13)</f>
        <v>4</v>
      </c>
      <c r="I4" s="7" t="str">
        <f aca="false">IF(H4&lt;=5,"так","ні")</f>
        <v>так</v>
      </c>
    </row>
    <row r="5" customFormat="false" ht="23.85" hidden="false" customHeight="false" outlineLevel="0" collapsed="false">
      <c r="A5" s="2" t="s">
        <v>303</v>
      </c>
      <c r="B5" s="2" t="s">
        <v>304</v>
      </c>
      <c r="C5" s="2" t="s">
        <v>305</v>
      </c>
      <c r="D5" s="3" t="n">
        <v>4</v>
      </c>
      <c r="E5" s="3" t="n">
        <v>3</v>
      </c>
      <c r="F5" s="7" t="n">
        <f aca="false">D5*E5</f>
        <v>12</v>
      </c>
      <c r="G5" s="10" t="n">
        <f aca="false">F5*100+D5*10+(100-ROW())/1000</f>
        <v>1240.095</v>
      </c>
      <c r="H5" s="7" t="n">
        <f aca="false">RANK(G5,$G$2:$G$13)</f>
        <v>6</v>
      </c>
      <c r="I5" s="7" t="str">
        <f aca="false">IF(H5&lt;=5,"так","ні")</f>
        <v>ні</v>
      </c>
    </row>
    <row r="6" customFormat="false" ht="23.85" hidden="false" customHeight="false" outlineLevel="0" collapsed="false">
      <c r="A6" s="2" t="s">
        <v>306</v>
      </c>
      <c r="B6" s="2" t="s">
        <v>307</v>
      </c>
      <c r="C6" s="2" t="s">
        <v>308</v>
      </c>
      <c r="D6" s="3" t="n">
        <v>4</v>
      </c>
      <c r="E6" s="3" t="n">
        <v>5</v>
      </c>
      <c r="F6" s="7" t="n">
        <f aca="false">D6*E6</f>
        <v>20</v>
      </c>
      <c r="G6" s="10" t="n">
        <f aca="false">F6*100+D6*10+(100-ROW())/1000</f>
        <v>2040.094</v>
      </c>
      <c r="H6" s="7" t="n">
        <f aca="false">RANK(G6,$G$2:$G$13)</f>
        <v>3</v>
      </c>
      <c r="I6" s="7" t="str">
        <f aca="false">IF(H6&lt;=5,"так","ні")</f>
        <v>так</v>
      </c>
    </row>
    <row r="7" customFormat="false" ht="23.85" hidden="false" customHeight="false" outlineLevel="0" collapsed="false">
      <c r="A7" s="2" t="s">
        <v>309</v>
      </c>
      <c r="B7" s="2" t="s">
        <v>310</v>
      </c>
      <c r="C7" s="2" t="s">
        <v>311</v>
      </c>
      <c r="D7" s="3" t="n">
        <v>3</v>
      </c>
      <c r="E7" s="3" t="n">
        <v>3</v>
      </c>
      <c r="F7" s="7" t="n">
        <f aca="false">D7*E7</f>
        <v>9</v>
      </c>
      <c r="G7" s="10" t="n">
        <f aca="false">F7*100+D7*10+(100-ROW())/1000</f>
        <v>930.093</v>
      </c>
      <c r="H7" s="7" t="n">
        <f aca="false">RANK(G7,$G$2:$G$13)</f>
        <v>8</v>
      </c>
      <c r="I7" s="7" t="str">
        <f aca="false">IF(H7&lt;=5,"так","ні")</f>
        <v>ні</v>
      </c>
    </row>
    <row r="8" customFormat="false" ht="15" hidden="false" customHeight="false" outlineLevel="0" collapsed="false">
      <c r="A8" s="2" t="s">
        <v>312</v>
      </c>
      <c r="B8" s="2" t="s">
        <v>313</v>
      </c>
      <c r="C8" s="2" t="s">
        <v>314</v>
      </c>
      <c r="D8" s="3" t="n">
        <v>4</v>
      </c>
      <c r="E8" s="3" t="n">
        <v>4</v>
      </c>
      <c r="F8" s="7" t="n">
        <f aca="false">D8*E8</f>
        <v>16</v>
      </c>
      <c r="G8" s="10" t="n">
        <f aca="false">F8*100+D8*10+(100-ROW())/1000</f>
        <v>1640.092</v>
      </c>
      <c r="H8" s="7" t="n">
        <f aca="false">RANK(G8,$G$2:$G$13)</f>
        <v>5</v>
      </c>
      <c r="I8" s="7" t="str">
        <f aca="false">IF(H8&lt;=5,"так","ні")</f>
        <v>так</v>
      </c>
    </row>
    <row r="9" customFormat="false" ht="23.85" hidden="false" customHeight="false" outlineLevel="0" collapsed="false">
      <c r="A9" s="2" t="s">
        <v>315</v>
      </c>
      <c r="B9" s="2" t="s">
        <v>316</v>
      </c>
      <c r="C9" s="2" t="s">
        <v>317</v>
      </c>
      <c r="D9" s="3" t="n">
        <v>3</v>
      </c>
      <c r="E9" s="3" t="n">
        <v>3</v>
      </c>
      <c r="F9" s="7" t="n">
        <f aca="false">D9*E9</f>
        <v>9</v>
      </c>
      <c r="G9" s="10" t="n">
        <f aca="false">F9*100+D9*10+(100-ROW())/1000</f>
        <v>930.091</v>
      </c>
      <c r="H9" s="7" t="n">
        <f aca="false">RANK(G9,$G$2:$G$13)</f>
        <v>9</v>
      </c>
      <c r="I9" s="7" t="str">
        <f aca="false">IF(H9&lt;=5,"так","ні")</f>
        <v>ні</v>
      </c>
    </row>
    <row r="10" customFormat="false" ht="23.85" hidden="false" customHeight="false" outlineLevel="0" collapsed="false">
      <c r="A10" s="2" t="s">
        <v>318</v>
      </c>
      <c r="B10" s="2" t="s">
        <v>319</v>
      </c>
      <c r="C10" s="2" t="s">
        <v>320</v>
      </c>
      <c r="D10" s="3" t="n">
        <v>3</v>
      </c>
      <c r="E10" s="3" t="n">
        <v>2</v>
      </c>
      <c r="F10" s="7" t="n">
        <f aca="false">D10*E10</f>
        <v>6</v>
      </c>
      <c r="G10" s="10" t="n">
        <f aca="false">F10*100+D10*10+(100-ROW())/1000</f>
        <v>630.09</v>
      </c>
      <c r="H10" s="7" t="n">
        <f aca="false">RANK(G10,$G$2:$G$13)</f>
        <v>10</v>
      </c>
      <c r="I10" s="7" t="str">
        <f aca="false">IF(H10&lt;=5,"так","ні")</f>
        <v>ні</v>
      </c>
    </row>
    <row r="11" customFormat="false" ht="23.85" hidden="false" customHeight="false" outlineLevel="0" collapsed="false">
      <c r="A11" s="2" t="s">
        <v>321</v>
      </c>
      <c r="B11" s="2" t="s">
        <v>322</v>
      </c>
      <c r="C11" s="2" t="s">
        <v>323</v>
      </c>
      <c r="D11" s="3" t="n">
        <v>4</v>
      </c>
      <c r="E11" s="3" t="n">
        <v>3</v>
      </c>
      <c r="F11" s="7" t="n">
        <f aca="false">D11*E11</f>
        <v>12</v>
      </c>
      <c r="G11" s="10" t="n">
        <f aca="false">F11*100+D11*10+(100-ROW())/1000</f>
        <v>1240.089</v>
      </c>
      <c r="H11" s="7" t="n">
        <f aca="false">RANK(G11,$G$2:$G$13)</f>
        <v>7</v>
      </c>
      <c r="I11" s="7" t="str">
        <f aca="false">IF(H11&lt;=5,"так","ні")</f>
        <v>ні</v>
      </c>
    </row>
    <row r="12" customFormat="false" ht="23.85" hidden="false" customHeight="false" outlineLevel="0" collapsed="false">
      <c r="A12" s="2" t="s">
        <v>324</v>
      </c>
      <c r="B12" s="2" t="s">
        <v>301</v>
      </c>
      <c r="C12" s="2" t="s">
        <v>325</v>
      </c>
      <c r="D12" s="3" t="n">
        <v>2</v>
      </c>
      <c r="E12" s="3" t="n">
        <v>3</v>
      </c>
      <c r="F12" s="7" t="n">
        <f aca="false">D12*E12</f>
        <v>6</v>
      </c>
      <c r="G12" s="10" t="n">
        <f aca="false">F12*100+D12*10+(100-ROW())/1000</f>
        <v>620.088</v>
      </c>
      <c r="H12" s="7" t="n">
        <f aca="false">RANK(G12,$G$2:$G$13)</f>
        <v>12</v>
      </c>
      <c r="I12" s="7" t="str">
        <f aca="false">IF(H12&lt;=5,"так","ні")</f>
        <v>ні</v>
      </c>
    </row>
    <row r="13" customFormat="false" ht="23.85" hidden="false" customHeight="false" outlineLevel="0" collapsed="false">
      <c r="A13" s="2" t="s">
        <v>326</v>
      </c>
      <c r="B13" s="2" t="s">
        <v>310</v>
      </c>
      <c r="C13" s="2" t="s">
        <v>327</v>
      </c>
      <c r="D13" s="3" t="n">
        <v>3</v>
      </c>
      <c r="E13" s="3" t="n">
        <v>2</v>
      </c>
      <c r="F13" s="7" t="n">
        <f aca="false">D13*E13</f>
        <v>6</v>
      </c>
      <c r="G13" s="10" t="n">
        <f aca="false">F13*100+D13*10+(100-ROW())/1000</f>
        <v>630.087</v>
      </c>
      <c r="H13" s="7" t="n">
        <f aca="false">RANK(G13,$G$2:$G$13)</f>
        <v>11</v>
      </c>
      <c r="I13" s="7" t="str">
        <f aca="false">IF(H13&lt;=5,"так","ні")</f>
        <v>ні</v>
      </c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2026-10-05T20:54:49Z</dcterms:created>
  <dc:creator>openpyxl</dc:creator>
  <dc:description/>
  <dc:language>uk-UA</dc:language>
  <cp:lastModifiedBy/>
  <dcterms:modified xsi:type="dcterms:W3CDTF">2026-10-05T20:54:49Z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