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" sheetId="1" state="visible" r:id="rId1"/>
    <sheet xmlns:r="http://schemas.openxmlformats.org/officeDocument/2006/relationships" name="Параметри" sheetId="2" state="visible" r:id="rId2"/>
    <sheet xmlns:r="http://schemas.openxmlformats.org/officeDocument/2006/relationships" name="Цінність" sheetId="3" state="visible" r:id="rId3"/>
    <sheet xmlns:r="http://schemas.openxmlformats.org/officeDocument/2006/relationships" name="Сегменти" sheetId="4" state="visible" r:id="rId4"/>
    <sheet xmlns:r="http://schemas.openxmlformats.org/officeDocument/2006/relationships" name="Стейкхолдери" sheetId="5" state="visible" r:id="rId5"/>
    <sheet xmlns:r="http://schemas.openxmlformats.org/officeDocument/2006/relationships" name="Витрати ЖЦ" sheetId="6" state="visible" r:id="rId6"/>
    <sheet xmlns:r="http://schemas.openxmlformats.org/officeDocument/2006/relationships" name="Змінні витрати" sheetId="7" state="visible" r:id="rId7"/>
    <sheet xmlns:r="http://schemas.openxmlformats.org/officeDocument/2006/relationships" name="Припущення" sheetId="8" state="visible" r:id="rId8"/>
  </sheets>
  <definedNames>
    <definedName name="p_area_m2">'Параметри'!$C$2</definedName>
    <definedName name="p_meters">'Параметри'!$C$3</definedName>
    <definedName name="p_interval_min">'Параметри'!$C$4</definedName>
    <definedName name="p_days_month">'Параметри'!$C$5</definedName>
    <definedName name="p_kwh_m2_year">'Параметри'!$C$6</definedName>
    <definedName name="p_tariff">'Параметри'!$C$7</definedName>
    <definedName name="p_anomalies_month">'Параметри'!$C$8</definedName>
    <definedName name="p_delta_kw">'Параметри'!$C$9</definedName>
    <definedName name="p_anomaly_hours_day">'Параметри'!$C$10</definedName>
    <definedName name="p_days_as_is">'Параметри'!$C$11</definedName>
    <definedName name="p_days_to_be">'Параметри'!$C$12</definedName>
    <definedName name="p_tech_hours_as_is">'Параметри'!$C$13</definedName>
    <definedName name="p_tech_hours_to_be">'Параметри'!$C$14</definedName>
    <definedName name="p_tech_rate">'Параметри'!$C$15</definedName>
    <definedName name="p_cost_per_1000">'Параметри'!$C$16</definedName>
    <definedName name="p_sim_month">'Параметри'!$C$17</definedName>
    <definedName name="p_alerts_month">'Параметри'!$C$18</definedName>
    <definedName name="p_alert_price">'Параметри'!$C$19</definedName>
    <definedName name="p_support_hours">'Параметри'!$C$20</definedName>
    <definedName name="p_support_rate">'Параметри'!$C$21</definedName>
    <definedName name="p_fixed_platform">'Параметри'!$C$22</definedName>
    <definedName name="p_buildings_y3">'Параметри'!$C$23</definedName>
    <definedName name="p_mvp_months">'Параметри'!$C$24</definedName>
    <definedName name="p_team_size">'Параметри'!$C$25</definedName>
    <definedName name="p_price_hypothesis">'Параметри'!$C$26</definedName>
    <definedName name="v_unit">'Змінні витрати'!$C$6</definedName>
    <definedName name="f_fixed">'Змінні витрати'!$C$7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>
        <color rgb="009a9890"/>
      </left>
      <right style="thin">
        <color rgb="009a9890"/>
      </right>
      <top style="thin">
        <color rgb="009a9890"/>
      </top>
      <bottom style="thin">
        <color rgb="009a989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Поле</t>
        </is>
      </c>
      <c r="B1" s="1" t="inlineStr">
        <is>
          <t>Зміст</t>
        </is>
      </c>
    </row>
    <row r="2">
      <c r="A2" s="2" t="inlineStr">
        <is>
          <t>Назва продукту</t>
        </is>
      </c>
      <c r="B2" s="2" t="inlineStr">
        <is>
          <t>ЕнергоПульс: моніторинг енергоспоживання будівлі</t>
        </is>
      </c>
    </row>
    <row r="3">
      <c r="A3" s="2" t="inlineStr">
        <is>
          <t>Проблема і контекст</t>
        </is>
      </c>
      <c r="B3" s="2" t="inlineStr">
        <is>
          <t>Енергоменеджер багатоорендного офісного центру виявляє аномальне споживання із запізненням (обходи, погодинні дані вводу або лише місячний рахунок): у середньому 12 діб, медіана близько 11 діб, для бази округлена до 12 діб (П); причину перевитрат встановити складно, бо субоблік знімають вручну раз на місяць, а погодинні дані є лише по вводу, без інтервальних даних по точках обліку. Втрати від аномалій оцінено в 3,4% річного споживання (П).</t>
        </is>
      </c>
    </row>
    <row r="4">
      <c r="A4" s="2" t="inlineStr">
        <is>
          <t>Первинний сегмент</t>
        </is>
      </c>
      <c r="B4" s="2" t="inlineStr">
        <is>
          <t>S1: багатоорендні офісні центри класу B/B+ площею 8...25 тис. м² з енергоменеджером або головним інженером і субобліком орендарів</t>
        </is>
      </c>
    </row>
    <row r="5">
      <c r="A5" s="2" t="inlineStr">
        <is>
          <t>Користувач, покупець, платник</t>
        </is>
      </c>
      <c r="B5" s="2" t="inlineStr">
        <is>
          <t>Користувачі: енергоменеджер, технік; вторинний: орендар. Покупець: власник (asset manager) або керуюча компанія. Платник: власник з операційного бюджету, частково відшкодовується орендарями через сервісний платіж</t>
        </is>
      </c>
    </row>
    <row r="6">
      <c r="A6" s="2" t="inlineStr">
        <is>
          <t>Поточна альтернатива</t>
        </is>
      </c>
      <c r="B6" s="2" t="inlineStr">
        <is>
          <t>Місячні рахунки і ручне зняття показів у Excel, обходи техніка, погодинні дані комерційного обліку лише по вводу з затримкою, BMS без аналітики</t>
        </is>
      </c>
    </row>
    <row r="7">
      <c r="A7" s="2" t="inlineStr">
        <is>
          <t>Ціннісна пропозиція</t>
        </is>
      </c>
      <c r="B7" s="2" t="inlineStr">
        <is>
          <t>Медіанний час виявлення аномалії не більше 2 год замість 12 діб і встановлення її причини до рахунку; оцінена цінність 10 800 EUR на будівлю за рік (П)</t>
        </is>
      </c>
    </row>
    <row r="8">
      <c r="A8" s="2" t="inlineStr">
        <is>
          <t>Ключова метрика</t>
        </is>
      </c>
      <c r="B8" s="2" t="inlineStr">
        <is>
          <t>Медіана часу від початку аномалії до її фіксації: база 288 год (12 діб; медіана близько 11 діб, округлено, П), ціль: медіана не більше 2 год за 3 міс. пілоту; додатковий контроль хвоста розподілу: P80 не більше 4 год</t>
        </is>
      </c>
    </row>
    <row r="9">
      <c r="A9" s="2" t="inlineStr">
        <is>
          <t>Межі MVP</t>
        </is>
      </c>
      <c r="B9" s="2" t="inlineStr">
        <is>
          <t>Одна будівля, лише електроенергія, 30 точок обліку, 11 функцій і 5 NFR; без керування обладнанням, білінгу, мобільного застосунку, погодної моделі</t>
        </is>
      </c>
    </row>
    <row r="10">
      <c r="A10" s="2" t="inlineStr">
        <is>
          <t>Головне припущення</t>
        </is>
      </c>
      <c r="B10" s="2" t="inlineStr">
        <is>
          <t>A1: втрати від аномалій, які зараз виявляють із запізненням (обходи, погодинні дані, рахунок), становлять не менше 2% річного споживання будівлі (вплив 5, невизначеність 4)</t>
        </is>
      </c>
    </row>
    <row r="11">
      <c r="A11" s="2" t="inlineStr">
        <is>
          <t>Критерій переходу далі</t>
        </is>
      </c>
      <c r="B11" s="2" t="inlineStr">
        <is>
          <t>A1, A2 і A5 підтверджено тестами: перевитрата не менше 2% у 2 з 3 будівель, не менше 3 листів про намір за ціною 130 EUR, дозавантаження не менше 99,5% інтервалів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1" customWidth="1" min="3" max="3"/>
    <col width="14" customWidth="1" min="4" max="4"/>
    <col width="7" customWidth="1" min="5" max="5"/>
    <col width="52" customWidth="1" min="6" max="6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Значення</t>
        </is>
      </c>
      <c r="D1" s="1" t="inlineStr">
        <is>
          <t>Одиниця</t>
        </is>
      </c>
      <c r="E1" s="1" t="inlineStr">
        <is>
          <t>Тип</t>
        </is>
      </c>
      <c r="F1" s="1" t="inlineStr">
        <is>
          <t>Пояснення</t>
        </is>
      </c>
    </row>
    <row r="2">
      <c r="A2" s="2" t="inlineStr">
        <is>
          <t>p_area_m2</t>
        </is>
      </c>
      <c r="B2" s="2" t="inlineStr">
        <is>
          <t>Корисна площа типової будівлі</t>
        </is>
      </c>
      <c r="C2" s="3" t="n">
        <v>12000</v>
      </c>
      <c r="D2" s="2" t="inlineStr">
        <is>
          <t>м²</t>
        </is>
      </c>
      <c r="E2" s="2" t="inlineStr">
        <is>
          <t>П</t>
        </is>
      </c>
      <c r="F2" s="2" t="inlineStr">
        <is>
          <t>офісний центр класу B з 15...25 орендарями</t>
        </is>
      </c>
    </row>
    <row r="3">
      <c r="A3" s="2" t="inlineStr">
        <is>
          <t>p_meters</t>
        </is>
      </c>
      <c r="B3" s="2" t="inlineStr">
        <is>
          <t>Кількість точок обліку в будівлі</t>
        </is>
      </c>
      <c r="C3" s="3" t="n">
        <v>30</v>
      </c>
      <c r="D3" s="2" t="inlineStr">
        <is>
          <t>шт.</t>
        </is>
      </c>
      <c r="E3" s="2" t="inlineStr">
        <is>
          <t>П</t>
        </is>
      </c>
      <c r="F3" s="2" t="inlineStr">
        <is>
          <t>ввід, поверхові щити, орендарі, HVAC, ліфти</t>
        </is>
      </c>
    </row>
    <row r="4">
      <c r="A4" s="2" t="inlineStr">
        <is>
          <t>p_interval_min</t>
        </is>
      </c>
      <c r="B4" s="2" t="inlineStr">
        <is>
          <t>Інтервал даних</t>
        </is>
      </c>
      <c r="C4" s="3" t="n">
        <v>15</v>
      </c>
      <c r="D4" s="2" t="inlineStr">
        <is>
          <t>хв</t>
        </is>
      </c>
      <c r="E4" s="2" t="inlineStr">
        <is>
          <t>Д</t>
        </is>
      </c>
      <c r="F4" s="2" t="inlineStr">
        <is>
          <t>умова варіанта 14</t>
        </is>
      </c>
    </row>
    <row r="5">
      <c r="A5" s="2" t="inlineStr">
        <is>
          <t>p_days_month</t>
        </is>
      </c>
      <c r="B5" s="2" t="inlineStr">
        <is>
          <t>Днів у розрахунковому місяці</t>
        </is>
      </c>
      <c r="C5" s="3" t="n">
        <v>30</v>
      </c>
      <c r="D5" s="2" t="inlineStr">
        <is>
          <t>діб</t>
        </is>
      </c>
      <c r="E5" s="2" t="inlineStr">
        <is>
          <t>П</t>
        </is>
      </c>
      <c r="F5" s="2" t="inlineStr">
        <is>
          <t>усереднення</t>
        </is>
      </c>
    </row>
    <row r="6">
      <c r="A6" s="2" t="inlineStr">
        <is>
          <t>p_kwh_m2_year</t>
        </is>
      </c>
      <c r="B6" s="2" t="inlineStr">
        <is>
          <t>Питоме річне споживання</t>
        </is>
      </c>
      <c r="C6" s="3" t="n">
        <v>160</v>
      </c>
      <c r="D6" s="2" t="inlineStr">
        <is>
          <t>кВт·год/м²</t>
        </is>
      </c>
      <c r="E6" s="2" t="inlineStr">
        <is>
          <t>П</t>
        </is>
      </c>
      <c r="F6" s="2" t="inlineStr">
        <is>
          <t>типовий рівень для офісу з кондиціюванням</t>
        </is>
      </c>
    </row>
    <row r="7">
      <c r="A7" s="2" t="inlineStr">
        <is>
          <t>p_tariff</t>
        </is>
      </c>
      <c r="B7" s="2" t="inlineStr">
        <is>
          <t>Тариф на електроенергію</t>
        </is>
      </c>
      <c r="C7" s="3" t="n">
        <v>0.16</v>
      </c>
      <c r="D7" s="2" t="inlineStr">
        <is>
          <t>EUR/кВт·год</t>
        </is>
      </c>
      <c r="E7" s="2" t="inlineStr">
        <is>
          <t>П</t>
        </is>
      </c>
      <c r="F7" s="2" t="inlineStr">
        <is>
          <t>непобутовий споживач, усереднено</t>
        </is>
      </c>
    </row>
    <row r="8">
      <c r="A8" s="2" t="inlineStr">
        <is>
          <t>p_anomalies_month</t>
        </is>
      </c>
      <c r="B8" s="2" t="inlineStr">
        <is>
          <t>Аномалій на будівлю за місяць</t>
        </is>
      </c>
      <c r="C8" s="3" t="n">
        <v>3</v>
      </c>
      <c r="D8" s="2" t="inlineStr">
        <is>
          <t>под.</t>
        </is>
      </c>
      <c r="E8" s="2" t="inlineStr">
        <is>
          <t>П</t>
        </is>
      </c>
      <c r="F8" s="2" t="inlineStr">
        <is>
          <t>нічне навантаження, HVAC поза графіком, несправності</t>
        </is>
      </c>
    </row>
    <row r="9">
      <c r="A9" s="2" t="inlineStr">
        <is>
          <t>p_delta_kw</t>
        </is>
      </c>
      <c r="B9" s="2" t="inlineStr">
        <is>
          <t>Середня надлишкова потужність аномалії</t>
        </is>
      </c>
      <c r="C9" s="3" t="n">
        <v>15</v>
      </c>
      <c r="D9" s="2" t="inlineStr">
        <is>
          <t>кВт</t>
        </is>
      </c>
      <c r="E9" s="2" t="inlineStr">
        <is>
          <t>П</t>
        </is>
      </c>
      <c r="F9" s="2" t="inlineStr">
        <is>
          <t>один вентиляційний агрегат або чилер</t>
        </is>
      </c>
    </row>
    <row r="10">
      <c r="A10" s="2" t="inlineStr">
        <is>
          <t>p_anomaly_hours_day</t>
        </is>
      </c>
      <c r="B10" s="2" t="inlineStr">
        <is>
          <t>Годин дії аномалії на добу</t>
        </is>
      </c>
      <c r="C10" s="3" t="n">
        <v>10</v>
      </c>
      <c r="D10" s="2" t="inlineStr">
        <is>
          <t>год</t>
        </is>
      </c>
      <c r="E10" s="2" t="inlineStr">
        <is>
          <t>П</t>
        </is>
      </c>
      <c r="F10" s="2" t="inlineStr">
        <is>
          <t>переважно неробочий час</t>
        </is>
      </c>
    </row>
    <row r="11">
      <c r="A11" s="2" t="inlineStr">
        <is>
          <t>p_days_as_is</t>
        </is>
      </c>
      <c r="B11" s="2" t="inlineStr">
        <is>
          <t>Тривалість аномалії до усунення, як є</t>
        </is>
      </c>
      <c r="C11" s="3" t="n">
        <v>12</v>
      </c>
      <c r="D11" s="2" t="inlineStr">
        <is>
          <t>діб</t>
        </is>
      </c>
      <c r="E11" s="2" t="inlineStr">
        <is>
          <t>П</t>
        </is>
      </c>
      <c r="F11" s="2" t="inlineStr">
        <is>
          <t>середнє 12,2 доби, медіана близько 11 діб; обидва округлено до 12 діб</t>
        </is>
      </c>
    </row>
    <row r="12">
      <c r="A12" s="2" t="inlineStr">
        <is>
          <t>p_days_to_be</t>
        </is>
      </c>
      <c r="B12" s="2" t="inlineStr">
        <is>
          <t>Тривалість аномалії до усунення, як буде</t>
        </is>
      </c>
      <c r="C12" s="3" t="n">
        <v>1</v>
      </c>
      <c r="D12" s="2" t="inlineStr">
        <is>
          <t>доба</t>
        </is>
      </c>
      <c r="E12" s="2" t="inlineStr">
        <is>
          <t>П</t>
        </is>
      </c>
      <c r="F12" s="2" t="inlineStr">
        <is>
          <t>виявлення до 2 год і усунення протягом робочого дня</t>
        </is>
      </c>
    </row>
    <row r="13">
      <c r="A13" s="2" t="inlineStr">
        <is>
          <t>p_tech_hours_as_is</t>
        </is>
      </c>
      <c r="B13" s="2" t="inlineStr">
        <is>
          <t>Пошук причини техніком, як є</t>
        </is>
      </c>
      <c r="C13" s="3" t="n">
        <v>6</v>
      </c>
      <c r="D13" s="2" t="inlineStr">
        <is>
          <t>год/под.</t>
        </is>
      </c>
      <c r="E13" s="2" t="inlineStr">
        <is>
          <t>П</t>
        </is>
      </c>
      <c r="F13" s="2" t="inlineStr">
        <is>
          <t>обхід щитів, ручні виміри</t>
        </is>
      </c>
    </row>
    <row r="14">
      <c r="A14" s="2" t="inlineStr">
        <is>
          <t>p_tech_hours_to_be</t>
        </is>
      </c>
      <c r="B14" s="2" t="inlineStr">
        <is>
          <t>Пошук причини техніком, як буде</t>
        </is>
      </c>
      <c r="C14" s="3" t="n">
        <v>1.5</v>
      </c>
      <c r="D14" s="2" t="inlineStr">
        <is>
          <t>год/под.</t>
        </is>
      </c>
      <c r="E14" s="2" t="inlineStr">
        <is>
          <t>П</t>
        </is>
      </c>
      <c r="F14" s="2" t="inlineStr">
        <is>
          <t>лічильник і час відомі з алерту</t>
        </is>
      </c>
    </row>
    <row r="15">
      <c r="A15" s="2" t="inlineStr">
        <is>
          <t>p_tech_rate</t>
        </is>
      </c>
      <c r="B15" s="2" t="inlineStr">
        <is>
          <t>Повна вартість години техніка</t>
        </is>
      </c>
      <c r="C15" s="3" t="n">
        <v>8</v>
      </c>
      <c r="D15" s="2" t="inlineStr">
        <is>
          <t>EUR/год</t>
        </is>
      </c>
      <c r="E15" s="2" t="inlineStr">
        <is>
          <t>П</t>
        </is>
      </c>
      <c r="F15" s="2" t="inlineStr">
        <is>
          <t>навантажена ставка</t>
        </is>
      </c>
    </row>
    <row r="16">
      <c r="A16" s="2" t="inlineStr">
        <is>
          <t>p_cost_per_1000</t>
        </is>
      </c>
      <c r="B16" s="2" t="inlineStr">
        <is>
          <t>Обробка і зберігання 1000 показів</t>
        </is>
      </c>
      <c r="C16" s="3" t="n">
        <v>0.075</v>
      </c>
      <c r="D16" s="2" t="inlineStr">
        <is>
          <t>EUR</t>
        </is>
      </c>
      <c r="E16" s="2" t="inlineStr">
        <is>
          <t>П</t>
        </is>
      </c>
      <c r="F16" s="2" t="inlineStr">
        <is>
          <t>частка обчислень, БД часових рядів, резервних копій</t>
        </is>
      </c>
    </row>
    <row r="17">
      <c r="A17" s="2" t="inlineStr">
        <is>
          <t>p_sim_month</t>
        </is>
      </c>
      <c r="B17" s="2" t="inlineStr">
        <is>
          <t>Мобільний зв'язок шлюзу</t>
        </is>
      </c>
      <c r="C17" s="3" t="n">
        <v>4</v>
      </c>
      <c r="D17" s="2" t="inlineStr">
        <is>
          <t>EUR/міс</t>
        </is>
      </c>
      <c r="E17" s="2" t="inlineStr">
        <is>
          <t>П</t>
        </is>
      </c>
      <c r="F17" s="2" t="inlineStr">
        <is>
          <t>LTE SIM з пакетом даних</t>
        </is>
      </c>
    </row>
    <row r="18">
      <c r="A18" s="2" t="inlineStr">
        <is>
          <t>p_alerts_month</t>
        </is>
      </c>
      <c r="B18" s="2" t="inlineStr">
        <is>
          <t>Платних сповіщень на будівлю</t>
        </is>
      </c>
      <c r="C18" s="3" t="n">
        <v>12</v>
      </c>
      <c r="D18" s="2" t="inlineStr">
        <is>
          <t>шт./міс</t>
        </is>
      </c>
      <c r="E18" s="2" t="inlineStr">
        <is>
          <t>П</t>
        </is>
      </c>
      <c r="F18" s="2" t="inlineStr">
        <is>
          <t>SMS ескалації, решта через email і месенджер</t>
        </is>
      </c>
    </row>
    <row r="19">
      <c r="A19" s="2" t="inlineStr">
        <is>
          <t>p_alert_price</t>
        </is>
      </c>
      <c r="B19" s="2" t="inlineStr">
        <is>
          <t>Ціна одного платного сповіщення</t>
        </is>
      </c>
      <c r="C19" s="3" t="n">
        <v>0.06</v>
      </c>
      <c r="D19" s="2" t="inlineStr">
        <is>
          <t>EUR</t>
        </is>
      </c>
      <c r="E19" s="2" t="inlineStr">
        <is>
          <t>П</t>
        </is>
      </c>
      <c r="F19" s="2" t="inlineStr">
        <is>
          <t>SMS шлюз</t>
        </is>
      </c>
    </row>
    <row r="20">
      <c r="A20" s="2" t="inlineStr">
        <is>
          <t>p_support_hours</t>
        </is>
      </c>
      <c r="B20" s="2" t="inlineStr">
        <is>
          <t>Підтримка на будівлю</t>
        </is>
      </c>
      <c r="C20" s="3" t="n">
        <v>0.16</v>
      </c>
      <c r="D20" s="2" t="inlineStr">
        <is>
          <t>год/міс</t>
        </is>
      </c>
      <c r="E20" s="2" t="inlineStr">
        <is>
          <t>П</t>
        </is>
      </c>
      <c r="F20" s="2" t="inlineStr">
        <is>
          <t>консультації, перевірка лічильників</t>
        </is>
      </c>
    </row>
    <row r="21">
      <c r="A21" s="2" t="inlineStr">
        <is>
          <t>p_support_rate</t>
        </is>
      </c>
      <c r="B21" s="2" t="inlineStr">
        <is>
          <t>Повна вартість години підтримки</t>
        </is>
      </c>
      <c r="C21" s="3" t="n">
        <v>30</v>
      </c>
      <c r="D21" s="2" t="inlineStr">
        <is>
          <t>EUR/год</t>
        </is>
      </c>
      <c r="E21" s="2" t="inlineStr">
        <is>
          <t>П</t>
        </is>
      </c>
      <c r="F21" s="2" t="inlineStr">
        <is>
          <t>інженер підтримки</t>
        </is>
      </c>
    </row>
    <row r="22">
      <c r="A22" s="2" t="inlineStr">
        <is>
          <t>p_fixed_platform</t>
        </is>
      </c>
      <c r="B22" s="2" t="inlineStr">
        <is>
          <t>Постійна частина витрат платформи</t>
        </is>
      </c>
      <c r="C22" s="3" t="n">
        <v>600</v>
      </c>
      <c r="D22" s="2" t="inlineStr">
        <is>
          <t>EUR/міс</t>
        </is>
      </c>
      <c r="E22" s="2" t="inlineStr">
        <is>
          <t>П</t>
        </is>
      </c>
      <c r="F22" s="2" t="inlineStr">
        <is>
          <t>кластер БД, брокер MQTT, моніторинг, резервні копії</t>
        </is>
      </c>
    </row>
    <row r="23">
      <c r="A23" s="2" t="inlineStr">
        <is>
          <t>p_buildings_y3</t>
        </is>
      </c>
      <c r="B23" s="2" t="inlineStr">
        <is>
          <t>Масштаб Y3</t>
        </is>
      </c>
      <c r="C23" s="3" t="n">
        <v>85</v>
      </c>
      <c r="D23" s="2" t="inlineStr">
        <is>
          <t>будівель</t>
        </is>
      </c>
      <c r="E23" s="2" t="inlineStr">
        <is>
          <t>Д</t>
        </is>
      </c>
      <c r="F23" s="2" t="inlineStr">
        <is>
          <t>умова варіанта ЛР № 4 і № 5</t>
        </is>
      </c>
    </row>
    <row r="24">
      <c r="A24" s="2" t="inlineStr">
        <is>
          <t>p_mvp_months</t>
        </is>
      </c>
      <c r="B24" s="2" t="inlineStr">
        <is>
          <t>Строк розроблення MVP</t>
        </is>
      </c>
      <c r="C24" s="3" t="n">
        <v>7</v>
      </c>
      <c r="D24" s="2" t="inlineStr">
        <is>
          <t>міс.</t>
        </is>
      </c>
      <c r="E24" s="2" t="inlineStr">
        <is>
          <t>Д</t>
        </is>
      </c>
      <c r="F24" s="2" t="inlineStr">
        <is>
          <t>умова варіанта ЛР № 4 і № 5</t>
        </is>
      </c>
    </row>
    <row r="25">
      <c r="A25" s="2" t="inlineStr">
        <is>
          <t>p_team_size</t>
        </is>
      </c>
      <c r="B25" s="2" t="inlineStr">
        <is>
          <t>Чисельність команди MVP</t>
        </is>
      </c>
      <c r="C25" s="3" t="n">
        <v>5</v>
      </c>
      <c r="D25" s="2" t="inlineStr">
        <is>
          <t>осіб</t>
        </is>
      </c>
      <c r="E25" s="2" t="inlineStr">
        <is>
          <t>Д</t>
        </is>
      </c>
      <c r="F25" s="2" t="inlineStr">
        <is>
          <t>умова варіанта ЛР № 4 і № 5: BA/PM, 2 розробники, QA, DevOps</t>
        </is>
      </c>
    </row>
    <row r="26">
      <c r="A26" s="2" t="inlineStr">
        <is>
          <t>p_price_hypothesis</t>
        </is>
      </c>
      <c r="B26" s="2" t="inlineStr">
        <is>
          <t>Гіпотеза ціни для перевірки A2</t>
        </is>
      </c>
      <c r="C26" s="3" t="n">
        <v>130</v>
      </c>
      <c r="D26" s="2" t="inlineStr">
        <is>
          <t>EUR/міс</t>
        </is>
      </c>
      <c r="E26" s="2" t="inlineStr">
        <is>
          <t>П</t>
        </is>
      </c>
      <c r="F26" s="2" t="inlineStr">
        <is>
          <t>не більше 15% оціненої вигоди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32" customWidth="1" min="4" max="4"/>
  </cols>
  <sheetData>
    <row r="1">
      <c r="A1" s="1" t="inlineStr">
        <is>
          <t>Показник</t>
        </is>
      </c>
      <c r="B1" s="1" t="inlineStr">
        <is>
          <t>Значення</t>
        </is>
      </c>
      <c r="C1" s="1" t="inlineStr">
        <is>
          <t>Одиниця</t>
        </is>
      </c>
      <c r="D1" s="1" t="inlineStr">
        <is>
          <t>Логіка</t>
        </is>
      </c>
    </row>
    <row r="2">
      <c r="A2" s="2" t="inlineStr">
        <is>
          <t>Інтервалів на добу</t>
        </is>
      </c>
      <c r="B2" s="4">
        <f>1440/p_interval_min</f>
        <v/>
      </c>
      <c r="C2" s="2" t="inlineStr">
        <is>
          <t>шт.</t>
        </is>
      </c>
      <c r="D2" s="2" t="inlineStr">
        <is>
          <t>1440 / інтервал</t>
        </is>
      </c>
    </row>
    <row r="3">
      <c r="A3" s="2" t="inlineStr">
        <is>
          <t>Показів на будівлю за місяць</t>
        </is>
      </c>
      <c r="B3" s="4">
        <f>p_meters*B2*p_days_month</f>
        <v/>
      </c>
      <c r="C3" s="2" t="inlineStr">
        <is>
          <t>шт.</t>
        </is>
      </c>
      <c r="D3" s="2" t="inlineStr">
        <is>
          <t>лічильники × інтервали × доби</t>
        </is>
      </c>
    </row>
    <row r="4">
      <c r="A4" s="2" t="inlineStr">
        <is>
          <t>Річне споживання будівлі</t>
        </is>
      </c>
      <c r="B4" s="4">
        <f>p_area_m2*p_kwh_m2_year</f>
        <v/>
      </c>
      <c r="C4" s="2" t="inlineStr">
        <is>
          <t>кВт·год</t>
        </is>
      </c>
      <c r="D4" s="2" t="inlineStr">
        <is>
          <t>площа × питоме споживання</t>
        </is>
      </c>
    </row>
    <row r="5">
      <c r="A5" s="2" t="inlineStr">
        <is>
          <t>Річна вартість електроенергії</t>
        </is>
      </c>
      <c r="B5" s="4">
        <f>B4*p_tariff</f>
        <v/>
      </c>
      <c r="C5" s="2" t="inlineStr">
        <is>
          <t>EUR</t>
        </is>
      </c>
      <c r="D5" s="2" t="inlineStr">
        <is>
          <t>споживання × тариф</t>
        </is>
      </c>
    </row>
    <row r="6">
      <c r="A6" s="2" t="inlineStr">
        <is>
          <t>Втрати від аномалій, як є</t>
        </is>
      </c>
      <c r="B6" s="4">
        <f>p_delta_kw*p_anomaly_hours_day*p_days_as_is*p_anomalies_month*12</f>
        <v/>
      </c>
      <c r="C6" s="2" t="inlineStr">
        <is>
          <t>кВт·год/рік</t>
        </is>
      </c>
      <c r="D6" s="2" t="inlineStr">
        <is>
          <t>ΔP × год × доби × події × 12</t>
        </is>
      </c>
    </row>
    <row r="7">
      <c r="A7" s="2" t="inlineStr">
        <is>
          <t>Втрати від аномалій, як буде</t>
        </is>
      </c>
      <c r="B7" s="4">
        <f>p_delta_kw*p_anomaly_hours_day*p_days_to_be*p_anomalies_month*12</f>
        <v/>
      </c>
      <c r="C7" s="2" t="inlineStr">
        <is>
          <t>кВт·год/рік</t>
        </is>
      </c>
      <c r="D7" s="2" t="inlineStr">
        <is>
          <t>ΔP × год × доби × події × 12</t>
        </is>
      </c>
    </row>
    <row r="8">
      <c r="A8" s="2" t="inlineStr">
        <is>
          <t>Частка втрат у споживанні, як є</t>
        </is>
      </c>
      <c r="B8" s="5">
        <f>B6/B4</f>
        <v/>
      </c>
      <c r="C8" s="2" t="inlineStr">
        <is>
          <t>%</t>
        </is>
      </c>
      <c r="D8" s="2" t="inlineStr">
        <is>
          <t>втрати / споживання</t>
        </is>
      </c>
    </row>
    <row r="9">
      <c r="A9" s="2" t="inlineStr">
        <is>
          <t>Збережено енергії</t>
        </is>
      </c>
      <c r="B9" s="4">
        <f>B6-B7</f>
        <v/>
      </c>
      <c r="C9" s="2" t="inlineStr">
        <is>
          <t>кВт·год/рік</t>
        </is>
      </c>
      <c r="D9" s="2" t="inlineStr">
        <is>
          <t>різниця втрат</t>
        </is>
      </c>
    </row>
    <row r="10">
      <c r="A10" s="2" t="inlineStr">
        <is>
          <t>Збережено енергії, частка</t>
        </is>
      </c>
      <c r="B10" s="5">
        <f>B9/B4</f>
        <v/>
      </c>
      <c r="C10" s="2" t="inlineStr">
        <is>
          <t>%</t>
        </is>
      </c>
      <c r="D10" s="2" t="inlineStr">
        <is>
          <t>основа цілі R2</t>
        </is>
      </c>
    </row>
    <row r="11">
      <c r="A11" s="2" t="inlineStr">
        <is>
          <t>Економія на енергії</t>
        </is>
      </c>
      <c r="B11" s="4">
        <f>B9*p_tariff</f>
        <v/>
      </c>
      <c r="C11" s="2" t="inlineStr">
        <is>
          <t>EUR/рік</t>
        </is>
      </c>
      <c r="D11" s="2" t="inlineStr">
        <is>
          <t>кВт·год × тариф</t>
        </is>
      </c>
    </row>
    <row r="12">
      <c r="A12" s="2" t="inlineStr">
        <is>
          <t>Економія часу техніка</t>
        </is>
      </c>
      <c r="B12" s="4">
        <f>(p_tech_hours_as_is-p_tech_hours_to_be)*p_anomalies_month*12*p_tech_rate</f>
        <v/>
      </c>
      <c r="C12" s="2" t="inlineStr">
        <is>
          <t>EUR/рік</t>
        </is>
      </c>
      <c r="D12" s="2" t="inlineStr">
        <is>
          <t>Δгод × події × 12 × ставка</t>
        </is>
      </c>
    </row>
    <row r="13">
      <c r="A13" s="2" t="inlineStr">
        <is>
          <t>Економічна цінність на будівлю</t>
        </is>
      </c>
      <c r="B13" s="4">
        <f>B11+B12</f>
        <v/>
      </c>
      <c r="C13" s="2" t="inlineStr">
        <is>
          <t>EUR/рік</t>
        </is>
      </c>
      <c r="D13" s="2" t="inlineStr">
        <is>
          <t>сума</t>
        </is>
      </c>
    </row>
    <row r="14">
      <c r="A14" s="2" t="inlineStr">
        <is>
          <t>Економічна цінність на будівлю</t>
        </is>
      </c>
      <c r="B14" s="6">
        <f>B13/12</f>
        <v/>
      </c>
      <c r="C14" s="2" t="inlineStr">
        <is>
          <t>EUR/міс</t>
        </is>
      </c>
      <c r="D14" s="2" t="inlineStr">
        <is>
          <t>для гіпотези ціни</t>
        </is>
      </c>
    </row>
    <row r="15">
      <c r="A15" s="2" t="inlineStr">
        <is>
          <t>Гіпотеза ціни A2 як частка цінності</t>
        </is>
      </c>
      <c r="B15" s="5">
        <f>p_price_hypothesis/B14</f>
        <v/>
      </c>
      <c r="C15" s="2" t="inlineStr">
        <is>
          <t>%</t>
        </is>
      </c>
      <c r="D15" s="2" t="inlineStr">
        <is>
          <t>ціна / цінність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1" customWidth="1" min="3" max="3"/>
    <col width="11" customWidth="1" min="4" max="4"/>
    <col width="13" customWidth="1" min="5" max="5"/>
    <col width="14" customWidth="1" min="6" max="6"/>
    <col width="11" customWidth="1" min="7" max="7"/>
    <col width="7" customWidth="1" min="8" max="8"/>
  </cols>
  <sheetData>
    <row r="1">
      <c r="A1" s="1" t="inlineStr">
        <is>
          <t>Сегмент</t>
        </is>
      </c>
      <c r="B1" s="1" t="inlineStr">
        <is>
          <t>Контекст</t>
        </is>
      </c>
      <c r="C1" s="1" t="inlineStr">
        <is>
          <t>Гострота болю</t>
        </is>
      </c>
      <c r="D1" s="1" t="inlineStr">
        <is>
          <t>Частота</t>
        </is>
      </c>
      <c r="E1" s="1" t="inlineStr">
        <is>
          <t>Доступність для перевірки</t>
        </is>
      </c>
      <c r="F1" s="1" t="inlineStr">
        <is>
          <t>Готовність змінити поведінку</t>
        </is>
      </c>
      <c r="G1" s="1" t="inlineStr">
        <is>
          <t>Зважений бал</t>
        </is>
      </c>
      <c r="H1" s="1" t="inlineStr">
        <is>
          <t>Ранг</t>
        </is>
      </c>
    </row>
    <row r="2">
      <c r="A2" s="2" t="inlineStr">
        <is>
          <t>Вага критерію</t>
        </is>
      </c>
      <c r="B2" s="2" t="inlineStr"/>
      <c r="C2" s="3" t="n">
        <v>0.35</v>
      </c>
      <c r="D2" s="3" t="n">
        <v>0.25</v>
      </c>
      <c r="E2" s="3" t="n">
        <v>0.2</v>
      </c>
      <c r="F2" s="3" t="n">
        <v>0.2</v>
      </c>
      <c r="G2" s="7">
        <f>SUM(C2:F2)</f>
        <v/>
      </c>
      <c r="H2" s="2" t="inlineStr"/>
    </row>
    <row r="3">
      <c r="A3" s="2" t="inlineStr">
        <is>
          <t>S1 Багатоорендні офісні центри класу B/B+</t>
        </is>
      </c>
      <c r="B3" s="2" t="inlineStr">
        <is>
          <t>8...25 тис. м², є енергоменеджер або головний інженер, субоблік орендарів</t>
        </is>
      </c>
      <c r="C3" s="3" t="n">
        <v>4</v>
      </c>
      <c r="D3" s="3" t="n">
        <v>5</v>
      </c>
      <c r="E3" s="3" t="n">
        <v>4</v>
      </c>
      <c r="F3" s="3" t="n">
        <v>4</v>
      </c>
      <c r="G3" s="7">
        <f>SUMPRODUCT($C$2:$F$2,C3:F3)</f>
        <v/>
      </c>
      <c r="H3" s="7">
        <f>RANK(G3,$G$3:$G$6)</f>
        <v/>
      </c>
    </row>
    <row r="4">
      <c r="A4" s="2" t="inlineStr">
        <is>
          <t>S2 Торговельні центри</t>
        </is>
      </c>
      <c r="B4" s="2" t="inlineStr">
        <is>
          <t>високі пікові навантаження, власна служба експлуатації, довгий цикл погодження</t>
        </is>
      </c>
      <c r="C4" s="3" t="n">
        <v>5</v>
      </c>
      <c r="D4" s="3" t="n">
        <v>4</v>
      </c>
      <c r="E4" s="3" t="n">
        <v>2</v>
      </c>
      <c r="F4" s="3" t="n">
        <v>3</v>
      </c>
      <c r="G4" s="7">
        <f>SUMPRODUCT($C$2:$F$2,C4:F4)</f>
        <v/>
      </c>
      <c r="H4" s="7">
        <f>RANK(G4,$G$3:$G$6)</f>
        <v/>
      </c>
    </row>
    <row r="5">
      <c r="A5" s="2" t="inlineStr">
        <is>
          <t>S3 Логістичні склади</t>
        </is>
      </c>
      <c r="B5" s="2" t="inlineStr">
        <is>
          <t>освітлення і холодильне обладнання, мало орендарів</t>
        </is>
      </c>
      <c r="C5" s="3" t="n">
        <v>3</v>
      </c>
      <c r="D5" s="3" t="n">
        <v>3</v>
      </c>
      <c r="E5" s="3" t="n">
        <v>3</v>
      </c>
      <c r="F5" s="3" t="n">
        <v>3</v>
      </c>
      <c r="G5" s="7">
        <f>SUMPRODUCT($C$2:$F$2,C5:F5)</f>
        <v/>
      </c>
      <c r="H5" s="7">
        <f>RANK(G5,$G$3:$G$6)</f>
        <v/>
      </c>
    </row>
    <row r="6">
      <c r="A6" s="2" t="inlineStr">
        <is>
          <t>S4 Бюджетні установи</t>
        </is>
      </c>
      <c r="B6" s="2" t="inlineStr">
        <is>
          <t>школи і лікарні, закупівлі через тендер, обмежені повноваження персоналу</t>
        </is>
      </c>
      <c r="C6" s="3" t="n">
        <v>4</v>
      </c>
      <c r="D6" s="3" t="n">
        <v>3</v>
      </c>
      <c r="E6" s="3" t="n">
        <v>2</v>
      </c>
      <c r="F6" s="3" t="n">
        <v>1</v>
      </c>
      <c r="G6" s="7">
        <f>SUMPRODUCT($C$2:$F$2,C6:F6)</f>
        <v/>
      </c>
      <c r="H6" s="7">
        <f>RANK(G6,$G$3:$G$6)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9" customWidth="1" min="4" max="4"/>
    <col width="16" customWidth="1" min="5" max="5"/>
    <col width="11" customWidth="1" min="6" max="6"/>
    <col width="15" customWidth="1" min="7" max="7"/>
    <col width="32" customWidth="1" min="8" max="8"/>
    <col width="30" customWidth="1" min="9" max="9"/>
  </cols>
  <sheetData>
    <row r="1">
      <c r="A1" s="1" t="inlineStr">
        <is>
          <t>Стейкхолдер</t>
        </is>
      </c>
      <c r="B1" s="1" t="inlineStr">
        <is>
          <t>Роль</t>
        </is>
      </c>
      <c r="C1" s="1" t="inlineStr">
        <is>
          <t>Інтерес і цінність</t>
        </is>
      </c>
      <c r="D1" s="1" t="inlineStr">
        <is>
          <t>Вплив 1...5</t>
        </is>
      </c>
      <c r="E1" s="1" t="inlineStr">
        <is>
          <t>Зацікавленість 1...5</t>
        </is>
      </c>
      <c r="F1" s="1" t="inlineStr">
        <is>
          <t>Пріоритет залучення</t>
        </is>
      </c>
      <c r="G1" s="1" t="inlineStr">
        <is>
          <t>Квадрант</t>
        </is>
      </c>
      <c r="H1" s="1" t="inlineStr">
        <is>
          <t>Конфлікт, ризик</t>
        </is>
      </c>
      <c r="I1" s="1" t="inlineStr">
        <is>
          <t>Залучення</t>
        </is>
      </c>
    </row>
    <row r="2">
      <c r="A2" s="2" t="inlineStr">
        <is>
          <t>Енергоменеджер</t>
        </is>
      </c>
      <c r="B2" s="2" t="inlineStr">
        <is>
          <t>користувач, первинний</t>
        </is>
      </c>
      <c r="C2" s="2" t="inlineStr">
        <is>
          <t>бачити аномалії до рахунку, звітувати власнику про економію</t>
        </is>
      </c>
      <c r="D2" s="7" t="n">
        <v>4</v>
      </c>
      <c r="E2" s="7" t="n">
        <v>5</v>
      </c>
      <c r="F2" s="7">
        <f>D2*E2</f>
        <v/>
      </c>
      <c r="G2" s="7">
        <f>IF(AND(D2&gt;=4,E2&gt;=4),"керувати тісно",IF(D2&gt;=4,"задовольняти",IF(E2&gt;=4,"інформувати","спостерігати")))</f>
        <v/>
      </c>
      <c r="H2" s="2" t="inlineStr">
        <is>
          <t>зростання навантаження через хибні алерти</t>
        </is>
      </c>
      <c r="I2" s="2" t="inlineStr">
        <is>
          <t>інтерв'ю, пілот, щотижневий розбір алертів</t>
        </is>
      </c>
    </row>
    <row r="3">
      <c r="A3" s="2" t="inlineStr">
        <is>
          <t>Технік служби експлуатації</t>
        </is>
      </c>
      <c r="B3" s="2" t="inlineStr">
        <is>
          <t>користувач, виконавець</t>
        </is>
      </c>
      <c r="C3" s="2" t="inlineStr">
        <is>
          <t>швидко знаходити джерело перевитрати, менше обходів</t>
        </is>
      </c>
      <c r="D3" s="7" t="n">
        <v>2</v>
      </c>
      <c r="E3" s="7" t="n">
        <v>4</v>
      </c>
      <c r="F3" s="7">
        <f>D3*E3</f>
        <v/>
      </c>
      <c r="G3" s="7">
        <f>IF(AND(D3&gt;=4,E3&gt;=4),"керувати тісно",IF(D3&gt;=4,"задовольняти",IF(E3&gt;=4,"інформувати","спостерігати")))</f>
        <v/>
      </c>
      <c r="H3" s="2" t="inlineStr">
        <is>
          <t>сприймає систему як контроль своєї роботи</t>
        </is>
      </c>
      <c r="I3" s="2" t="inlineStr">
        <is>
          <t>навчання 1 год, довідник причин зі слів техніків</t>
        </is>
      </c>
    </row>
    <row r="4">
      <c r="A4" s="2" t="inlineStr">
        <is>
          <t>Власник будівлі (asset manager)</t>
        </is>
      </c>
      <c r="B4" s="2" t="inlineStr">
        <is>
          <t>покупець і платник</t>
        </is>
      </c>
      <c r="C4" s="2" t="inlineStr">
        <is>
          <t>нижчі операційні витрати, вища вартість активу, звітність ESG</t>
        </is>
      </c>
      <c r="D4" s="7" t="n">
        <v>5</v>
      </c>
      <c r="E4" s="7" t="n">
        <v>4</v>
      </c>
      <c r="F4" s="7">
        <f>D4*E4</f>
        <v/>
      </c>
      <c r="G4" s="7">
        <f>IF(AND(D4&gt;=4,E4&gt;=4),"керувати тісно",IF(D4&gt;=4,"задовольняти",IF(E4&gt;=4,"інформувати","спостерігати")))</f>
        <v/>
      </c>
      <c r="H4" s="2" t="inlineStr">
        <is>
          <t>очікує окупність до 12 міс., не готовий фінансувати заміну лічильників</t>
        </is>
      </c>
      <c r="I4" s="2" t="inlineStr">
        <is>
          <t>розрахунок економії, лист про намір, звіт пілоту</t>
        </is>
      </c>
    </row>
    <row r="5">
      <c r="A5" s="2" t="inlineStr">
        <is>
          <t>Керуюча компанія</t>
        </is>
      </c>
      <c r="B5" s="2" t="inlineStr">
        <is>
          <t>покупець в аутсорс-моделі, оператор</t>
        </is>
      </c>
      <c r="C5" s="2" t="inlineStr">
        <is>
          <t>виконати KPI договору управління, прозорий розподіл витрат</t>
        </is>
      </c>
      <c r="D5" s="7" t="n">
        <v>4</v>
      </c>
      <c r="E5" s="7" t="n">
        <v>4</v>
      </c>
      <c r="F5" s="7">
        <f>D5*E5</f>
        <v/>
      </c>
      <c r="G5" s="7">
        <f>IF(AND(D5&gt;=4,E5&gt;=4),"керувати тісно",IF(D5&gt;=4,"задовольняти",IF(E5&gt;=4,"інформувати","спостерігати")))</f>
        <v/>
      </c>
      <c r="H5" s="2" t="inlineStr">
        <is>
          <t>економія зменшує базу винагороди, якщо вона залежить від обсягу витрат</t>
        </is>
      </c>
      <c r="I5" s="2" t="inlineStr">
        <is>
          <t>партнерський пілот, спільні KPI</t>
        </is>
      </c>
    </row>
    <row r="6">
      <c r="A6" s="2" t="inlineStr">
        <is>
          <t>Орендар</t>
        </is>
      </c>
      <c r="B6" s="2" t="inlineStr">
        <is>
          <t>вторинний користувач, частковий платник через сервісний платіж</t>
        </is>
      </c>
      <c r="C6" s="2" t="inlineStr">
        <is>
          <t>справедливий рахунок за фактичне споживання</t>
        </is>
      </c>
      <c r="D6" s="7" t="n">
        <v>3</v>
      </c>
      <c r="E6" s="7" t="n">
        <v>3</v>
      </c>
      <c r="F6" s="7">
        <f>D6*E6</f>
        <v/>
      </c>
      <c r="G6" s="7">
        <f>IF(AND(D6&gt;=4,E6&gt;=4),"керувати тісно",IF(D6&gt;=4,"задовольняти",IF(E6&gt;=4,"інформувати","спостерігати")))</f>
        <v/>
      </c>
      <c r="H6" s="2" t="inlineStr">
        <is>
          <t>небажання розкривати графік роботи, спори щодо розподілу</t>
        </is>
      </c>
      <c r="I6" s="2" t="inlineStr">
        <is>
          <t>щомісячний звіт лише по власних лічильниках</t>
        </is>
      </c>
    </row>
    <row r="7">
      <c r="A7" s="2" t="inlineStr">
        <is>
          <t>Постачальник лічильників</t>
        </is>
      </c>
      <c r="B7" s="2" t="inlineStr">
        <is>
          <t>партнер, джерело даних</t>
        </is>
      </c>
      <c r="C7" s="2" t="inlineStr">
        <is>
          <t>продаж лічильників і сервісу, сумісність</t>
        </is>
      </c>
      <c r="D7" s="7" t="n">
        <v>3</v>
      </c>
      <c r="E7" s="7" t="n">
        <v>2</v>
      </c>
      <c r="F7" s="7">
        <f>D7*E7</f>
        <v/>
      </c>
      <c r="G7" s="7">
        <f>IF(AND(D7&gt;=4,E7&gt;=4),"керувати тісно",IF(D7&gt;=4,"задовольняти",IF(E7&gt;=4,"інформувати","спостерігати")))</f>
        <v/>
      </c>
      <c r="H7" s="2" t="inlineStr">
        <is>
          <t>закриті протоколи, власна хмара як конкурент</t>
        </is>
      </c>
      <c r="I7" s="2" t="inlineStr">
        <is>
          <t>запит карти регістрів Modbus, тестовий стенд</t>
        </is>
      </c>
    </row>
    <row r="8">
      <c r="A8" s="2" t="inlineStr">
        <is>
          <t>Оператор системи розподілу і постачальник</t>
        </is>
      </c>
      <c r="B8" s="2" t="inlineStr">
        <is>
          <t>зовнішній, джерело рахунків</t>
        </is>
      </c>
      <c r="C8" s="2" t="inlineStr">
        <is>
          <t>своєчасна оплата, точність комерційного обліку</t>
        </is>
      </c>
      <c r="D8" s="7" t="n">
        <v>2</v>
      </c>
      <c r="E8" s="7" t="n">
        <v>1</v>
      </c>
      <c r="F8" s="7">
        <f>D8*E8</f>
        <v/>
      </c>
      <c r="G8" s="7">
        <f>IF(AND(D8&gt;=4,E8&gt;=4),"керувати тісно",IF(D8&gt;=4,"задовольняти",IF(E8&gt;=4,"інформувати","спостерігати")))</f>
        <v/>
      </c>
      <c r="H8" s="2" t="inlineStr">
        <is>
          <t>розбіжність субобліку і комерційного обліку</t>
        </is>
      </c>
      <c r="I8" s="2" t="inlineStr">
        <is>
          <t>імпорт рахунків, звірка показів вводу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34" customWidth="1" min="3" max="3"/>
    <col width="12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Етап</t>
        </is>
      </c>
      <c r="B1" s="1" t="inlineStr">
        <is>
          <t>Робота або ресурс</t>
        </is>
      </c>
      <c r="C1" s="1" t="inlineStr">
        <is>
          <t>Драйвер</t>
        </is>
      </c>
      <c r="D1" s="1" t="inlineStr">
        <is>
          <t>Прямі/непрямі</t>
        </is>
      </c>
      <c r="E1" s="1" t="inlineStr">
        <is>
          <t>Одноразові/періодичні</t>
        </is>
      </c>
      <c r="F1" s="1" t="inlineStr">
        <is>
          <t>Постійні/змінні</t>
        </is>
      </c>
      <c r="G1" s="1" t="inlineStr">
        <is>
          <t>Незворотні</t>
        </is>
      </c>
    </row>
    <row r="2">
      <c r="A2" s="2" t="inlineStr">
        <is>
          <t>Discovery</t>
        </is>
      </c>
      <c r="B2" s="2" t="inlineStr">
        <is>
          <t>Інтерв'ю з 10 власниками і керуючими компаніями (BA, 0,5 FTE)</t>
        </is>
      </c>
      <c r="C2" s="2" t="inlineStr">
        <is>
          <t>кількість інтерв'ю</t>
        </is>
      </c>
      <c r="D2" s="2" t="inlineStr">
        <is>
          <t>прямі</t>
        </is>
      </c>
      <c r="E2" s="2" t="inlineStr">
        <is>
          <t>одноразові</t>
        </is>
      </c>
      <c r="F2" s="2" t="inlineStr">
        <is>
          <t>змінні</t>
        </is>
      </c>
      <c r="G2" s="2" t="inlineStr">
        <is>
          <t>так</t>
        </is>
      </c>
    </row>
    <row r="3">
      <c r="A3" s="2" t="inlineStr">
        <is>
          <t>Discovery</t>
        </is>
      </c>
      <c r="B3" s="2" t="inlineStr">
        <is>
          <t>Аналіз історичних погодинних даних комерційного обліку по вводу 3 будівель і розмітка аномалій</t>
        </is>
      </c>
      <c r="C3" s="2" t="inlineStr">
        <is>
          <t>кількість будівель і місяців даних</t>
        </is>
      </c>
      <c r="D3" s="2" t="inlineStr">
        <is>
          <t>прямі</t>
        </is>
      </c>
      <c r="E3" s="2" t="inlineStr">
        <is>
          <t>одноразові</t>
        </is>
      </c>
      <c r="F3" s="2" t="inlineStr">
        <is>
          <t>змінні</t>
        </is>
      </c>
      <c r="G3" s="2" t="inlineStr">
        <is>
          <t>так</t>
        </is>
      </c>
    </row>
    <row r="4">
      <c r="A4" s="2" t="inlineStr">
        <is>
          <t>Discovery</t>
        </is>
      </c>
      <c r="B4" s="2" t="inlineStr">
        <is>
          <t>Тест A5: тимчасова збірка шлюзу (мінікомп'ютер, адаптер RS-485) в 1 будівлі на 2 тижні</t>
        </is>
      </c>
      <c r="C4" s="2" t="inlineStr">
        <is>
          <t>кількість тестових будівель</t>
        </is>
      </c>
      <c r="D4" s="2" t="inlineStr">
        <is>
          <t>прямі</t>
        </is>
      </c>
      <c r="E4" s="2" t="inlineStr">
        <is>
          <t>одноразові</t>
        </is>
      </c>
      <c r="F4" s="2" t="inlineStr">
        <is>
          <t>змінні</t>
        </is>
      </c>
      <c r="G4" s="2" t="inlineStr">
        <is>
          <t>так</t>
        </is>
      </c>
    </row>
    <row r="5">
      <c r="A5" s="2" t="inlineStr">
        <is>
          <t>Discovery</t>
        </is>
      </c>
      <c r="B5" s="2" t="inlineStr">
        <is>
          <t>Юридична консультація щодо даних субобліку орендарів</t>
        </is>
      </c>
      <c r="C5" s="2" t="inlineStr">
        <is>
          <t>кількість типів договорів</t>
        </is>
      </c>
      <c r="D5" s="2" t="inlineStr">
        <is>
          <t>прямі</t>
        </is>
      </c>
      <c r="E5" s="2" t="inlineStr">
        <is>
          <t>одноразові</t>
        </is>
      </c>
      <c r="F5" s="2" t="inlineStr">
        <is>
          <t>постійні</t>
        </is>
      </c>
      <c r="G5" s="2" t="inlineStr">
        <is>
          <t>так</t>
        </is>
      </c>
    </row>
    <row r="6">
      <c r="A6" s="2" t="inlineStr">
        <is>
          <t>Delivery</t>
        </is>
      </c>
      <c r="B6" s="2" t="inlineStr">
        <is>
          <t>Розроблення MVP командою з 5 осіб протягом 7 міс.: BA/PM, 2 розробники (backend, frontend, ПЗ шлюзу), QA, DevOps</t>
        </is>
      </c>
      <c r="C6" s="2" t="inlineStr">
        <is>
          <t>обсяг scope, SP; FTE ролей</t>
        </is>
      </c>
      <c r="D6" s="2" t="inlineStr">
        <is>
          <t>прямі</t>
        </is>
      </c>
      <c r="E6" s="2" t="inlineStr">
        <is>
          <t>одноразові</t>
        </is>
      </c>
      <c r="F6" s="2" t="inlineStr">
        <is>
          <t>постійні</t>
        </is>
      </c>
      <c r="G6" s="2" t="inlineStr">
        <is>
          <t>так</t>
        </is>
      </c>
    </row>
    <row r="7">
      <c r="A7" s="2" t="inlineStr">
        <is>
          <t>Delivery</t>
        </is>
      </c>
      <c r="B7" s="2" t="inlineStr">
        <is>
          <t>Тестовий стенд з 6 типами лічильників</t>
        </is>
      </c>
      <c r="C7" s="2" t="inlineStr">
        <is>
          <t>кількість типів лічильників</t>
        </is>
      </c>
      <c r="D7" s="2" t="inlineStr">
        <is>
          <t>прямі</t>
        </is>
      </c>
      <c r="E7" s="2" t="inlineStr">
        <is>
          <t>одноразові</t>
        </is>
      </c>
      <c r="F7" s="2" t="inlineStr">
        <is>
          <t>змінні</t>
        </is>
      </c>
      <c r="G7" s="2" t="inlineStr">
        <is>
          <t>так</t>
        </is>
      </c>
    </row>
    <row r="8">
      <c r="A8" s="2" t="inlineStr">
        <is>
          <t>Delivery</t>
        </is>
      </c>
      <c r="B8" s="2" t="inlineStr">
        <is>
          <t>Налаштування CI/CD, середовищ і моніторингу (DevOps)</t>
        </is>
      </c>
      <c r="C8" s="2" t="inlineStr">
        <is>
          <t>кількість середовищ</t>
        </is>
      </c>
      <c r="D8" s="2" t="inlineStr">
        <is>
          <t>прямі</t>
        </is>
      </c>
      <c r="E8" s="2" t="inlineStr">
        <is>
          <t>одноразові</t>
        </is>
      </c>
      <c r="F8" s="2" t="inlineStr">
        <is>
          <t>постійні</t>
        </is>
      </c>
      <c r="G8" s="2" t="inlineStr">
        <is>
          <t>так</t>
        </is>
      </c>
    </row>
    <row r="9">
      <c r="A9" s="2" t="inlineStr">
        <is>
          <t>Delivery</t>
        </is>
      </c>
      <c r="B9" s="2" t="inlineStr">
        <is>
          <t>Ліцензії інструментів розробки і репозиторію</t>
        </is>
      </c>
      <c r="C9" s="2" t="inlineStr">
        <is>
          <t>кількість членів команди</t>
        </is>
      </c>
      <c r="D9" s="2" t="inlineStr">
        <is>
          <t>непрямі</t>
        </is>
      </c>
      <c r="E9" s="2" t="inlineStr">
        <is>
          <t>періодичні</t>
        </is>
      </c>
      <c r="F9" s="2" t="inlineStr">
        <is>
          <t>змінні</t>
        </is>
      </c>
      <c r="G9" s="2" t="inlineStr">
        <is>
          <t>ні</t>
        </is>
      </c>
    </row>
    <row r="10">
      <c r="A10" s="2" t="inlineStr">
        <is>
          <t>Operation</t>
        </is>
      </c>
      <c r="B10" s="2" t="inlineStr">
        <is>
          <t>Базова хмарна інфраструктура: БД часових рядів, брокер, резервні копії</t>
        </is>
      </c>
      <c r="C10" s="2" t="inlineStr">
        <is>
          <t>рівень доступності, кількість середовищ</t>
        </is>
      </c>
      <c r="D10" s="2" t="inlineStr">
        <is>
          <t>прямі</t>
        </is>
      </c>
      <c r="E10" s="2" t="inlineStr">
        <is>
          <t>періодичні</t>
        </is>
      </c>
      <c r="F10" s="2" t="inlineStr">
        <is>
          <t>постійні</t>
        </is>
      </c>
      <c r="G10" s="2" t="inlineStr">
        <is>
          <t>ні</t>
        </is>
      </c>
    </row>
    <row r="11">
      <c r="A11" s="2" t="inlineStr">
        <is>
          <t>Operation</t>
        </is>
      </c>
      <c r="B11" s="2" t="inlineStr">
        <is>
          <t>Обробка і зберігання показів</t>
        </is>
      </c>
      <c r="C11" s="2" t="inlineStr">
        <is>
          <t>кількість показів = лічильники × 96 × днів</t>
        </is>
      </c>
      <c r="D11" s="2" t="inlineStr">
        <is>
          <t>прямі</t>
        </is>
      </c>
      <c r="E11" s="2" t="inlineStr">
        <is>
          <t>періодичні</t>
        </is>
      </c>
      <c r="F11" s="2" t="inlineStr">
        <is>
          <t>змінні</t>
        </is>
      </c>
      <c r="G11" s="2" t="inlineStr">
        <is>
          <t>ні</t>
        </is>
      </c>
    </row>
    <row r="12">
      <c r="A12" s="2" t="inlineStr">
        <is>
          <t>Operation</t>
        </is>
      </c>
      <c r="B12" s="2" t="inlineStr">
        <is>
          <t>Мобільний зв'язок шлюзів і платні сповіщення</t>
        </is>
      </c>
      <c r="C12" s="2" t="inlineStr">
        <is>
          <t>кількість будівель, кількість ескалацій</t>
        </is>
      </c>
      <c r="D12" s="2" t="inlineStr">
        <is>
          <t>прямі</t>
        </is>
      </c>
      <c r="E12" s="2" t="inlineStr">
        <is>
          <t>періодичні</t>
        </is>
      </c>
      <c r="F12" s="2" t="inlineStr">
        <is>
          <t>змінні</t>
        </is>
      </c>
      <c r="G12" s="2" t="inlineStr">
        <is>
          <t>ні</t>
        </is>
      </c>
    </row>
    <row r="13">
      <c r="A13" s="2" t="inlineStr">
        <is>
          <t>Operation</t>
        </is>
      </c>
      <c r="B13" s="2" t="inlineStr">
        <is>
          <t>Підтримка будівлі: консультації клієнта, перевірка нестабільних лічильників (у v)</t>
        </is>
      </c>
      <c r="C13" s="2" t="inlineStr">
        <is>
          <t>кількість будівель і нестабільних лічильників</t>
        </is>
      </c>
      <c r="D13" s="2" t="inlineStr">
        <is>
          <t>прямі</t>
        </is>
      </c>
      <c r="E13" s="2" t="inlineStr">
        <is>
          <t>періодичні</t>
        </is>
      </c>
      <c r="F13" s="2" t="inlineStr">
        <is>
          <t>змінні</t>
        </is>
      </c>
      <c r="G13" s="2" t="inlineStr">
        <is>
          <t>ні</t>
        </is>
      </c>
    </row>
    <row r="14">
      <c r="A14" s="2" t="inlineStr">
        <is>
          <t>Operation</t>
        </is>
      </c>
      <c r="B14" s="2" t="inlineStr">
        <is>
          <t>Support і change команди: чергування, онбординг нових будівель, виправлення, оновлення, нові моделі лічильників</t>
        </is>
      </c>
      <c r="C14" s="2" t="inlineStr">
        <is>
          <t>частки FTE команди супроводу; кількість змін</t>
        </is>
      </c>
      <c r="D14" s="2" t="inlineStr">
        <is>
          <t>прямі</t>
        </is>
      </c>
      <c r="E14" s="2" t="inlineStr">
        <is>
          <t>періодичні</t>
        </is>
      </c>
      <c r="F14" s="2" t="inlineStr">
        <is>
          <t>постійні</t>
        </is>
      </c>
      <c r="G14" s="2" t="inlineStr">
        <is>
          <t>ні</t>
        </is>
      </c>
    </row>
    <row r="15">
      <c r="A15" s="2" t="inlineStr">
        <is>
          <t>Operation</t>
        </is>
      </c>
      <c r="B15" s="2" t="inlineStr">
        <is>
          <t>Накладні: офіс, бухгалтерія, страхування відповідальності</t>
        </is>
      </c>
      <c r="C15" s="2" t="inlineStr">
        <is>
          <t>чисельність персоналу</t>
        </is>
      </c>
      <c r="D15" s="2" t="inlineStr">
        <is>
          <t>непрямі</t>
        </is>
      </c>
      <c r="E15" s="2" t="inlineStr">
        <is>
          <t>періодичні</t>
        </is>
      </c>
      <c r="F15" s="2" t="inlineStr">
        <is>
          <t>постійні</t>
        </is>
      </c>
      <c r="G15" s="2" t="inlineStr">
        <is>
          <t>ні</t>
        </is>
      </c>
    </row>
    <row r="16">
      <c r="A16" s="2" t="inlineStr">
        <is>
          <t>Retirement</t>
        </is>
      </c>
      <c r="B16" s="2" t="inlineStr">
        <is>
          <t>Експорт історії клієнту (CSV, Parquet) і передача документації</t>
        </is>
      </c>
      <c r="C16" s="2" t="inlineStr">
        <is>
          <t>обсяг даних, кількість клієнтів</t>
        </is>
      </c>
      <c r="D16" s="2" t="inlineStr">
        <is>
          <t>прямі</t>
        </is>
      </c>
      <c r="E16" s="2" t="inlineStr">
        <is>
          <t>одноразові</t>
        </is>
      </c>
      <c r="F16" s="2" t="inlineStr">
        <is>
          <t>змінні</t>
        </is>
      </c>
      <c r="G16" s="2" t="inlineStr">
        <is>
          <t>ні</t>
        </is>
      </c>
    </row>
    <row r="17">
      <c r="A17" s="2" t="inlineStr">
        <is>
          <t>Retirement</t>
        </is>
      </c>
      <c r="B17" s="2" t="inlineStr">
        <is>
          <t>Демонтаж або передача шлюзів</t>
        </is>
      </c>
      <c r="C17" s="2" t="inlineStr">
        <is>
          <t>кількість будівель</t>
        </is>
      </c>
      <c r="D17" s="2" t="inlineStr">
        <is>
          <t>прямі</t>
        </is>
      </c>
      <c r="E17" s="2" t="inlineStr">
        <is>
          <t>одноразові</t>
        </is>
      </c>
      <c r="F17" s="2" t="inlineStr">
        <is>
          <t>змінні</t>
        </is>
      </c>
      <c r="G17" s="2" t="inlineStr">
        <is>
          <t>ні</t>
        </is>
      </c>
    </row>
    <row r="18">
      <c r="A18" s="2" t="inlineStr">
        <is>
          <t>Retirement</t>
        </is>
      </c>
      <c r="B18" s="2" t="inlineStr">
        <is>
          <t>Видалення даних з резервних копій і акт знищення</t>
        </is>
      </c>
      <c r="C18" s="2" t="inlineStr">
        <is>
          <t>строк зберігання копій</t>
        </is>
      </c>
      <c r="D18" s="2" t="inlineStr">
        <is>
          <t>прямі</t>
        </is>
      </c>
      <c r="E18" s="2" t="inlineStr">
        <is>
          <t>одноразові</t>
        </is>
      </c>
      <c r="F18" s="2" t="inlineStr">
        <is>
          <t>постійні</t>
        </is>
      </c>
      <c r="G18" s="2" t="inlineStr">
        <is>
          <t>ні</t>
        </is>
      </c>
    </row>
    <row r="19">
      <c r="A19" s="2" t="inlineStr">
        <is>
          <t>Retirement</t>
        </is>
      </c>
      <c r="B19" s="2" t="inlineStr">
        <is>
          <t>Повідомлення клієнтів і перехідний період підтримки</t>
        </is>
      </c>
      <c r="C19" s="2" t="inlineStr">
        <is>
          <t>кількість клієнтів</t>
        </is>
      </c>
      <c r="D19" s="2" t="inlineStr">
        <is>
          <t>непрямі</t>
        </is>
      </c>
      <c r="E19" s="2" t="inlineStr">
        <is>
          <t>одноразові</t>
        </is>
      </c>
      <c r="F19" s="2" t="inlineStr">
        <is>
          <t>змінні</t>
        </is>
      </c>
      <c r="G19" s="2" t="inlineStr">
        <is>
          <t>ні</t>
        </is>
      </c>
    </row>
    <row r="21">
      <c r="A21" s="2" t="inlineStr">
        <is>
          <t>Позицій усього</t>
        </is>
      </c>
      <c r="B21" s="7">
        <f>COUNTA(A2:A19)</f>
        <v/>
      </c>
    </row>
    <row r="22">
      <c r="A22" s="2" t="inlineStr">
        <is>
          <t>Discovery</t>
        </is>
      </c>
      <c r="B22" s="7">
        <f>COUNTIF($A$2:$A$19,A22)</f>
        <v/>
      </c>
    </row>
    <row r="23">
      <c r="A23" s="2" t="inlineStr">
        <is>
          <t>Delivery</t>
        </is>
      </c>
      <c r="B23" s="7">
        <f>COUNTIF($A$2:$A$19,A23)</f>
        <v/>
      </c>
    </row>
    <row r="24">
      <c r="A24" s="2" t="inlineStr">
        <is>
          <t>Operation</t>
        </is>
      </c>
      <c r="B24" s="7">
        <f>COUNTIF($A$2:$A$19,A24)</f>
        <v/>
      </c>
    </row>
    <row r="25">
      <c r="A25" s="2" t="inlineStr">
        <is>
          <t>Retirement</t>
        </is>
      </c>
      <c r="B25" s="7">
        <f>COUNTIF($A$2:$A$19,A25)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6" customWidth="1" min="4" max="4"/>
  </cols>
  <sheetData>
    <row r="1">
      <c r="A1" s="1" t="inlineStr">
        <is>
          <t>Складова v (на будівлю за місяць)</t>
        </is>
      </c>
      <c r="B1" s="1" t="inlineStr">
        <is>
          <t>Формула</t>
        </is>
      </c>
      <c r="C1" s="1" t="inlineStr">
        <is>
          <t>EUR</t>
        </is>
      </c>
    </row>
    <row r="2">
      <c r="A2" s="2" t="inlineStr">
        <is>
          <t>Обробка і зберігання показів</t>
        </is>
      </c>
      <c r="B2" s="2" t="inlineStr">
        <is>
          <t>покази / 1000 × ціна</t>
        </is>
      </c>
      <c r="C2" s="8">
        <f>'Цінність'!B3/1000*p_cost_per_1000</f>
        <v/>
      </c>
    </row>
    <row r="3">
      <c r="A3" s="2" t="inlineStr">
        <is>
          <t>Мобільний зв'язок шлюзу</t>
        </is>
      </c>
      <c r="B3" s="2" t="inlineStr">
        <is>
          <t>SIM</t>
        </is>
      </c>
      <c r="C3" s="8">
        <f>p_sim_month</f>
        <v/>
      </c>
    </row>
    <row r="4">
      <c r="A4" s="2" t="inlineStr">
        <is>
          <t>Платні сповіщення</t>
        </is>
      </c>
      <c r="B4" s="2" t="inlineStr">
        <is>
          <t>кількість × ціна</t>
        </is>
      </c>
      <c r="C4" s="8">
        <f>p_alerts_month*p_alert_price</f>
        <v/>
      </c>
    </row>
    <row r="5">
      <c r="A5" s="2" t="inlineStr">
        <is>
          <t>Підтримка</t>
        </is>
      </c>
      <c r="B5" s="2" t="inlineStr">
        <is>
          <t>год × ставка</t>
        </is>
      </c>
      <c r="C5" s="8">
        <f>p_support_hours*p_support_rate</f>
        <v/>
      </c>
    </row>
    <row r="6">
      <c r="A6" s="2" t="inlineStr">
        <is>
          <t>v, змінні витрати на будівлю</t>
        </is>
      </c>
      <c r="B6" s="2" t="inlineStr">
        <is>
          <t>сума</t>
        </is>
      </c>
      <c r="C6" s="8">
        <f>SUM(C2:C5)</f>
        <v/>
      </c>
    </row>
    <row r="7">
      <c r="A7" s="2" t="inlineStr">
        <is>
          <t>F, постійна частина</t>
        </is>
      </c>
      <c r="B7" s="2" t="inlineStr">
        <is>
          <t>базова платформа</t>
        </is>
      </c>
      <c r="C7" s="8">
        <f>p_fixed_platform</f>
        <v/>
      </c>
    </row>
    <row r="9">
      <c r="A9" s="1" t="inlineStr">
        <is>
          <t>Кількість будівель N</t>
        </is>
      </c>
      <c r="B9" s="1" t="inlineStr">
        <is>
          <t>C(N) = F + v × N, EUR/міс</t>
        </is>
      </c>
      <c r="C9" s="1" t="inlineStr">
        <is>
          <t>C(N) / N, EUR на будівлю</t>
        </is>
      </c>
      <c r="D9" s="1" t="inlineStr">
        <is>
          <t>Частка F у C(N)</t>
        </is>
      </c>
    </row>
    <row r="10">
      <c r="A10" s="7" t="n">
        <v>5</v>
      </c>
      <c r="B10" s="6">
        <f>f_fixed+v_unit*A10</f>
        <v/>
      </c>
      <c r="C10" s="8">
        <f>B10/A10</f>
        <v/>
      </c>
      <c r="D10" s="9">
        <f>f_fixed/B10</f>
        <v/>
      </c>
    </row>
    <row r="11">
      <c r="A11" s="7" t="n">
        <v>10</v>
      </c>
      <c r="B11" s="6">
        <f>f_fixed+v_unit*A11</f>
        <v/>
      </c>
      <c r="C11" s="8">
        <f>B11/A11</f>
        <v/>
      </c>
      <c r="D11" s="9">
        <f>f_fixed/B11</f>
        <v/>
      </c>
    </row>
    <row r="12">
      <c r="A12" s="7" t="n">
        <v>20</v>
      </c>
      <c r="B12" s="6">
        <f>f_fixed+v_unit*A12</f>
        <v/>
      </c>
      <c r="C12" s="8">
        <f>B12/A12</f>
        <v/>
      </c>
      <c r="D12" s="9">
        <f>f_fixed/B12</f>
        <v/>
      </c>
    </row>
    <row r="13">
      <c r="A13" s="7" t="n">
        <v>30</v>
      </c>
      <c r="B13" s="6">
        <f>f_fixed+v_unit*A13</f>
        <v/>
      </c>
      <c r="C13" s="8">
        <f>B13/A13</f>
        <v/>
      </c>
      <c r="D13" s="9">
        <f>f_fixed/B13</f>
        <v/>
      </c>
    </row>
    <row r="14">
      <c r="A14" s="7" t="n">
        <v>40</v>
      </c>
      <c r="B14" s="6">
        <f>f_fixed+v_unit*A14</f>
        <v/>
      </c>
      <c r="C14" s="8">
        <f>B14/A14</f>
        <v/>
      </c>
      <c r="D14" s="9">
        <f>f_fixed/B14</f>
        <v/>
      </c>
    </row>
    <row r="15">
      <c r="A15" s="7" t="n">
        <v>50</v>
      </c>
      <c r="B15" s="6">
        <f>f_fixed+v_unit*A15</f>
        <v/>
      </c>
      <c r="C15" s="8">
        <f>B15/A15</f>
        <v/>
      </c>
      <c r="D15" s="9">
        <f>f_fixed/B15</f>
        <v/>
      </c>
    </row>
    <row r="16">
      <c r="A16" s="7" t="n">
        <v>60</v>
      </c>
      <c r="B16" s="6">
        <f>f_fixed+v_unit*A16</f>
        <v/>
      </c>
      <c r="C16" s="8">
        <f>B16/A16</f>
        <v/>
      </c>
      <c r="D16" s="9">
        <f>f_fixed/B16</f>
        <v/>
      </c>
    </row>
    <row r="17">
      <c r="A17" s="7" t="n">
        <v>70</v>
      </c>
      <c r="B17" s="6">
        <f>f_fixed+v_unit*A17</f>
        <v/>
      </c>
      <c r="C17" s="8">
        <f>B17/A17</f>
        <v/>
      </c>
      <c r="D17" s="9">
        <f>f_fixed/B17</f>
        <v/>
      </c>
    </row>
    <row r="18">
      <c r="A18" s="7" t="n">
        <v>85</v>
      </c>
      <c r="B18" s="6">
        <f>f_fixed+v_unit*A18</f>
        <v/>
      </c>
      <c r="C18" s="8">
        <f>B18/A18</f>
        <v/>
      </c>
      <c r="D18" s="9">
        <f>f_fixed/B18</f>
        <v/>
      </c>
    </row>
  </sheetData>
  <pageMargins left="0.3" right="0.3" top="0.4" bottom="0.4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60" customWidth="1" min="3" max="3"/>
    <col width="8" customWidth="1" min="4" max="4"/>
    <col width="10" customWidth="1" min="5" max="5"/>
    <col width="10" customWidth="1" min="6" max="6"/>
    <col width="12" customWidth="1" min="7" max="7"/>
    <col width="7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Категорія</t>
        </is>
      </c>
      <c r="C1" s="1" t="inlineStr">
        <is>
          <t>Припущення</t>
        </is>
      </c>
      <c r="D1" s="1" t="inlineStr">
        <is>
          <t>Вплив</t>
        </is>
      </c>
      <c r="E1" s="1" t="inlineStr">
        <is>
          <t>Невизнач.</t>
        </is>
      </c>
      <c r="F1" s="1" t="inlineStr">
        <is>
          <t>Пріоритет</t>
        </is>
      </c>
      <c r="G1" s="1" t="inlineStr">
        <is>
          <t>Ключ сортування</t>
        </is>
      </c>
      <c r="H1" s="1" t="inlineStr">
        <is>
          <t>Ранг</t>
        </is>
      </c>
      <c r="I1" s="1" t="inlineStr">
        <is>
          <t>Топ 5</t>
        </is>
      </c>
    </row>
    <row r="2">
      <c r="A2" s="2" t="inlineStr">
        <is>
          <t>A1</t>
        </is>
      </c>
      <c r="B2" s="2" t="inlineStr">
        <is>
          <t>Цінність</t>
        </is>
      </c>
      <c r="C2" s="2" t="inlineStr">
        <is>
          <t>Втрати від аномалій, які зараз виявляють із запізненням (обходи, погодинні дані, рахунок), становлять не менше 2% річного споживання будівлі</t>
        </is>
      </c>
      <c r="D2" s="3" t="n">
        <v>5</v>
      </c>
      <c r="E2" s="3" t="n">
        <v>4</v>
      </c>
      <c r="F2" s="7">
        <f>D2*E2</f>
        <v/>
      </c>
      <c r="G2" s="10">
        <f>F2*100+D2*10+(100-ROW())/1000</f>
        <v/>
      </c>
      <c r="H2" s="7">
        <f>RANK(G2,$G$2:$G$13)</f>
        <v/>
      </c>
      <c r="I2" s="7">
        <f>IF(H2&lt;=5,"так","ні")</f>
        <v/>
      </c>
    </row>
    <row r="3">
      <c r="A3" s="2" t="inlineStr">
        <is>
          <t>A2</t>
        </is>
      </c>
      <c r="B3" s="2" t="inlineStr">
        <is>
          <t>Попит, фінанси</t>
        </is>
      </c>
      <c r="C3" s="2" t="inlineStr">
        <is>
          <t>Власник або керуюча компанія платить не менше 130 EUR на місяць за будівлю</t>
        </is>
      </c>
      <c r="D3" s="3" t="n">
        <v>5</v>
      </c>
      <c r="E3" s="3" t="n">
        <v>4</v>
      </c>
      <c r="F3" s="7">
        <f>D3*E3</f>
        <v/>
      </c>
      <c r="G3" s="10">
        <f>F3*100+D3*10+(100-ROW())/1000</f>
        <v/>
      </c>
      <c r="H3" s="7">
        <f>RANK(G3,$G$2:$G$13)</f>
        <v/>
      </c>
      <c r="I3" s="7">
        <f>IF(H3&lt;=5,"так","ні")</f>
        <v/>
      </c>
    </row>
    <row r="4">
      <c r="A4" s="2" t="inlineStr">
        <is>
          <t>A3</t>
        </is>
      </c>
      <c r="B4" s="2" t="inlineStr">
        <is>
          <t>Поведінка</t>
        </is>
      </c>
      <c r="C4" s="2" t="inlineStr">
        <is>
          <t>Енергоменеджер реагує на алерт протягом робочого дня щонайменше у 70% випадків</t>
        </is>
      </c>
      <c r="D4" s="3" t="n">
        <v>4</v>
      </c>
      <c r="E4" s="3" t="n">
        <v>4</v>
      </c>
      <c r="F4" s="7">
        <f>D4*E4</f>
        <v/>
      </c>
      <c r="G4" s="10">
        <f>F4*100+D4*10+(100-ROW())/1000</f>
        <v/>
      </c>
      <c r="H4" s="7">
        <f>RANK(G4,$G$2:$G$13)</f>
        <v/>
      </c>
      <c r="I4" s="7">
        <f>IF(H4&lt;=5,"так","ні")</f>
        <v/>
      </c>
    </row>
    <row r="5">
      <c r="A5" s="2" t="inlineStr">
        <is>
          <t>A4</t>
        </is>
      </c>
      <c r="B5" s="2" t="inlineStr">
        <is>
          <t>Технологія</t>
        </is>
      </c>
      <c r="C5" s="2" t="inlineStr">
        <is>
          <t>Не менше 80% лічильників цільових будівель мають Modbus або імпульсний вихід без заміни</t>
        </is>
      </c>
      <c r="D5" s="3" t="n">
        <v>4</v>
      </c>
      <c r="E5" s="3" t="n">
        <v>3</v>
      </c>
      <c r="F5" s="7">
        <f>D5*E5</f>
        <v/>
      </c>
      <c r="G5" s="10">
        <f>F5*100+D5*10+(100-ROW())/1000</f>
        <v/>
      </c>
      <c r="H5" s="7">
        <f>RANK(G5,$G$2:$G$13)</f>
        <v/>
      </c>
      <c r="I5" s="7">
        <f>IF(H5&lt;=5,"так","ні")</f>
        <v/>
      </c>
    </row>
    <row r="6">
      <c r="A6" s="2" t="inlineStr">
        <is>
          <t>A5</t>
        </is>
      </c>
      <c r="B6" s="2" t="inlineStr">
        <is>
          <t>Дані</t>
        </is>
      </c>
      <c r="C6" s="2" t="inlineStr">
        <is>
          <t>Нестабільні лічильники дають не більше 10% пропусків, а буфер шлюзу відновлює не менше 99,5% інтервалів</t>
        </is>
      </c>
      <c r="D6" s="3" t="n">
        <v>4</v>
      </c>
      <c r="E6" s="3" t="n">
        <v>5</v>
      </c>
      <c r="F6" s="7">
        <f>D6*E6</f>
        <v/>
      </c>
      <c r="G6" s="10">
        <f>F6*100+D6*10+(100-ROW())/1000</f>
        <v/>
      </c>
      <c r="H6" s="7">
        <f>RANK(G6,$G$2:$G$13)</f>
        <v/>
      </c>
      <c r="I6" s="7">
        <f>IF(H6&lt;=5,"так","ні")</f>
        <v/>
      </c>
    </row>
    <row r="7">
      <c r="A7" s="2" t="inlineStr">
        <is>
          <t>A6</t>
        </is>
      </c>
      <c r="B7" s="2" t="inlineStr">
        <is>
          <t>Операції</t>
        </is>
      </c>
      <c r="C7" s="2" t="inlineStr">
        <is>
          <t>Технік встановлює шлюз і налаштовує 30 лічильників за один робочий день</t>
        </is>
      </c>
      <c r="D7" s="3" t="n">
        <v>3</v>
      </c>
      <c r="E7" s="3" t="n">
        <v>3</v>
      </c>
      <c r="F7" s="7">
        <f>D7*E7</f>
        <v/>
      </c>
      <c r="G7" s="10">
        <f>F7*100+D7*10+(100-ROW())/1000</f>
        <v/>
      </c>
      <c r="H7" s="7">
        <f>RANK(G7,$G$2:$G$13)</f>
        <v/>
      </c>
      <c r="I7" s="7">
        <f>IF(H7&lt;=5,"так","ні")</f>
        <v/>
      </c>
    </row>
    <row r="8">
      <c r="A8" s="2" t="inlineStr">
        <is>
          <t>A7</t>
        </is>
      </c>
      <c r="B8" s="2" t="inlineStr">
        <is>
          <t>Технологія, дані</t>
        </is>
      </c>
      <c r="C8" s="2" t="inlineStr">
        <is>
          <t>Проста базова лінія без погоди дає не більше 20% хибних алертів</t>
        </is>
      </c>
      <c r="D8" s="3" t="n">
        <v>4</v>
      </c>
      <c r="E8" s="3" t="n">
        <v>4</v>
      </c>
      <c r="F8" s="7">
        <f>D8*E8</f>
        <v/>
      </c>
      <c r="G8" s="10">
        <f>F8*100+D8*10+(100-ROW())/1000</f>
        <v/>
      </c>
      <c r="H8" s="7">
        <f>RANK(G8,$G$2:$G$13)</f>
        <v/>
      </c>
      <c r="I8" s="7">
        <f>IF(H8&lt;=5,"так","ні")</f>
        <v/>
      </c>
    </row>
    <row r="9">
      <c r="A9" s="2" t="inlineStr">
        <is>
          <t>A8</t>
        </is>
      </c>
      <c r="B9" s="2" t="inlineStr">
        <is>
          <t>Право, етика</t>
        </is>
      </c>
      <c r="C9" s="2" t="inlineStr">
        <is>
          <t>Договори оренди дозволяють показувати власнику дані субобліку орендаря без додаткової згоди</t>
        </is>
      </c>
      <c r="D9" s="3" t="n">
        <v>3</v>
      </c>
      <c r="E9" s="3" t="n">
        <v>3</v>
      </c>
      <c r="F9" s="7">
        <f>D9*E9</f>
        <v/>
      </c>
      <c r="G9" s="10">
        <f>F9*100+D9*10+(100-ROW())/1000</f>
        <v/>
      </c>
      <c r="H9" s="7">
        <f>RANK(G9,$G$2:$G$13)</f>
        <v/>
      </c>
      <c r="I9" s="7">
        <f>IF(H9&lt;=5,"так","ні")</f>
        <v/>
      </c>
    </row>
    <row r="10">
      <c r="A10" s="2" t="inlineStr">
        <is>
          <t>A9</t>
        </is>
      </c>
      <c r="B10" s="2" t="inlineStr">
        <is>
          <t>Фінанси</t>
        </is>
      </c>
      <c r="C10" s="2" t="inlineStr">
        <is>
          <t>Змінні витрати не перевищують 16 EUR на будівлю за місяць при 30 лічильниках</t>
        </is>
      </c>
      <c r="D10" s="3" t="n">
        <v>3</v>
      </c>
      <c r="E10" s="3" t="n">
        <v>2</v>
      </c>
      <c r="F10" s="7">
        <f>D10*E10</f>
        <v/>
      </c>
      <c r="G10" s="10">
        <f>F10*100+D10*10+(100-ROW())/1000</f>
        <v/>
      </c>
      <c r="H10" s="7">
        <f>RANK(G10,$G$2:$G$13)</f>
        <v/>
      </c>
      <c r="I10" s="7">
        <f>IF(H10&lt;=5,"так","ні")</f>
        <v/>
      </c>
    </row>
    <row r="11">
      <c r="A11" s="2" t="inlineStr">
        <is>
          <t>A10</t>
        </is>
      </c>
      <c r="B11" s="2" t="inlineStr">
        <is>
          <t>Попит</t>
        </is>
      </c>
      <c r="C11" s="2" t="inlineStr">
        <is>
          <t>Не менше 30% опитаних керуючих компаній погодяться на безкоштовний пілот 3 міс.</t>
        </is>
      </c>
      <c r="D11" s="3" t="n">
        <v>4</v>
      </c>
      <c r="E11" s="3" t="n">
        <v>3</v>
      </c>
      <c r="F11" s="7">
        <f>D11*E11</f>
        <v/>
      </c>
      <c r="G11" s="10">
        <f>F11*100+D11*10+(100-ROW())/1000</f>
        <v/>
      </c>
      <c r="H11" s="7">
        <f>RANK(G11,$G$2:$G$13)</f>
        <v/>
      </c>
      <c r="I11" s="7">
        <f>IF(H11&lt;=5,"так","ні")</f>
        <v/>
      </c>
    </row>
    <row r="12">
      <c r="A12" s="2" t="inlineStr">
        <is>
          <t>A11</t>
        </is>
      </c>
      <c r="B12" s="2" t="inlineStr">
        <is>
          <t>Поведінка</t>
        </is>
      </c>
      <c r="C12" s="2" t="inlineStr">
        <is>
          <t>Орендарі приймають місячний звіт субобліку як підставу для обговорення перевитрат</t>
        </is>
      </c>
      <c r="D12" s="3" t="n">
        <v>2</v>
      </c>
      <c r="E12" s="3" t="n">
        <v>3</v>
      </c>
      <c r="F12" s="7">
        <f>D12*E12</f>
        <v/>
      </c>
      <c r="G12" s="10">
        <f>F12*100+D12*10+(100-ROW())/1000</f>
        <v/>
      </c>
      <c r="H12" s="7">
        <f>RANK(G12,$G$2:$G$13)</f>
        <v/>
      </c>
      <c r="I12" s="7">
        <f>IF(H12&lt;=5,"так","ні")</f>
        <v/>
      </c>
    </row>
    <row r="13">
      <c r="A13" s="2" t="inlineStr">
        <is>
          <t>A12</t>
        </is>
      </c>
      <c r="B13" s="2" t="inlineStr">
        <is>
          <t>Операції</t>
        </is>
      </c>
      <c r="C13" s="2" t="inlineStr">
        <is>
          <t>Постачальники лічильників надають карту регістрів Modbus без платної підтримки</t>
        </is>
      </c>
      <c r="D13" s="3" t="n">
        <v>3</v>
      </c>
      <c r="E13" s="3" t="n">
        <v>2</v>
      </c>
      <c r="F13" s="7">
        <f>D13*E13</f>
        <v/>
      </c>
      <c r="G13" s="10">
        <f>F13*100+D13*10+(100-ROW())/1000</f>
        <v/>
      </c>
      <c r="H13" s="7">
        <f>RANK(G13,$G$2:$G$13)</f>
        <v/>
      </c>
      <c r="I13" s="7">
        <f>IF(H13&lt;=5,"так","ні")</f>
        <v/>
      </c>
    </row>
  </sheetData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2026-10-05T20:18:51Z</dcterms:created>
  <dcterms:modified xmlns:dcterms="http://purl.org/dc/terms/" xmlns:xsi="http://www.w3.org/2001/XMLSchema-instance" xsi:type="dcterms:W3CDTF">2026-10-05T20:18:51Z</dcterms:modified>
</cp:coreProperties>
</file>