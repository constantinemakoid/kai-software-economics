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раметри ЛР3" sheetId="1" state="visible" r:id="rId3"/>
    <sheet name="Журнал припущень" sheetId="2" state="visible" r:id="rId4"/>
    <sheet name="Ставки" sheetId="3" state="visible" r:id="rId5"/>
    <sheet name="Календар і фази" sheetId="4" state="visible" r:id="rId6"/>
    <sheet name="Labor" sheetId="5" state="visible" r:id="rId7"/>
    <sheet name="Baseline MVP" sheetId="6" state="visible" r:id="rId8"/>
    <sheet name="Cash burn" sheetId="7" state="visible" r:id="rId9"/>
    <sheet name="TCO" sheetId="8" state="visible" r:id="rId10"/>
  </sheets>
  <definedNames>
    <definedName function="false" hidden="false" name="x_alt_month" vbProcedure="false">'Параметри ЛР3'!$C$31</definedName>
    <definedName function="false" hidden="false" name="x_alt_op" vbProcedure="false">'Параметри ЛР3'!$C$30</definedName>
    <definedName function="false" hidden="false" name="x_alt_start" vbProcedure="false">'Параметри ЛР3'!$C$29</definedName>
    <definedName function="false" hidden="false" name="x_arisk_d" vbProcedure="false">'Параметри ЛР3'!$C$40</definedName>
    <definedName function="false" hidden="false" name="x_arisk_hw" vbProcedure="false">'Параметри ЛР3'!$C$39</definedName>
    <definedName function="false" hidden="false" name="x_arisk_p" vbProcedure="false">'Параметри ЛР3'!$C$38</definedName>
    <definedName function="false" hidden="false" name="x_base" vbProcedure="false">'Baseline MVP'!$B$26</definedName>
    <definedName function="false" hidden="false" name="x_benefits" vbProcedure="false">'Параметри ЛР3'!$C$17</definedName>
    <definedName function="false" hidden="false" name="x_bl_days" vbProcedure="false">'Параметри ЛР3'!$C$3</definedName>
    <definedName function="false" hidden="false" name="x_budget" vbProcedure="false">'Baseline MVP'!$B$30</definedName>
    <definedName function="false" hidden="false" name="x_cap_mult" vbProcedure="false">'Параметри ЛР3'!$C$15</definedName>
    <definedName function="false" hidden="false" name="x_cbl" vbProcedure="false">'Baseline MVP'!$B$28</definedName>
    <definedName function="false" hidden="false" name="x_chg_dev" vbProcedure="false">'Параметри ЛР3'!$C$34</definedName>
    <definedName function="false" hidden="false" name="x_chg_qa" vbProcedure="false">'Параметри ЛР3'!$C$35</definedName>
    <definedName function="false" hidden="false" name="x_cloud_y1" vbProcedure="false">'Параметри ЛР3'!$C$26</definedName>
    <definedName function="false" hidden="false" name="x_cont" vbProcedure="false">'Baseline MVP'!$B$27</definedName>
    <definedName function="false" hidden="false" name="x_crisk_p" vbProcedure="false">'Параметри ЛР3'!$C$36</definedName>
    <definedName function="false" hidden="false" name="x_crisk_s" vbProcedure="false">'Параметри ЛР3'!$C$37</definedName>
    <definedName function="false" hidden="false" name="x_days_avg" vbProcedure="false">'Параметри ЛР3'!$C$19</definedName>
    <definedName function="false" hidden="false" name="x_disc" vbProcedure="false">'Параметри ЛР3'!$C$43</definedName>
    <definedName function="false" hidden="false" name="x_ef11" vbProcedure="false">'Параметри ЛР3'!$C$4</definedName>
    <definedName function="false" hidden="false" name="x_ef12" vbProcedure="false">'Параметри ЛР3'!$C$5</definedName>
    <definedName function="false" hidden="false" name="x_esv" vbProcedure="false">'Параметри ЛР3'!$C$13</definedName>
    <definedName function="false" hidden="false" name="x_fc" vbProcedure="false">'Параметри ЛР3'!$C$6</definedName>
    <definedName function="false" hidden="false" name="x_fx" vbProcedure="false">'Параметри ЛР3'!$C$16</definedName>
    <definedName function="false" hidden="false" name="x_g2" vbProcedure="false">'Параметри ЛР3'!$C$27</definedName>
    <definedName function="false" hidden="false" name="x_g3" vbProcedure="false">'Параметри ЛР3'!$C$28</definedName>
    <definedName function="false" hidden="false" name="x_holidays" vbProcedure="false">'Параметри ЛР3'!$A$46:$A$47</definedName>
    <definedName function="false" hidden="false" name="x_labor" vbProcedure="false">Labor!$L$7</definedName>
    <definedName function="false" hidden="false" name="x_min_wage" vbProcedure="false">'Параметри ЛР3'!$C$14</definedName>
    <definedName function="false" hidden="false" name="x_months_total" vbProcedure="false">'Календар і фази'!$E$6</definedName>
    <definedName function="false" hidden="false" name="x_mr" vbProcedure="false">'Baseline MVP'!$B$29</definedName>
    <definedName function="false" hidden="false" name="x_mr_days" vbProcedure="false">'Параметри ЛР3'!$C$7</definedName>
    <definedName function="false" hidden="false" name="x_overhead" vbProcedure="false">'Параметри ЛР3'!$C$18</definedName>
    <definedName function="false" hidden="false" name="x_pe_A" vbProcedure="false">'Календар і фази'!$C$2</definedName>
    <definedName function="false" hidden="false" name="x_pe_B" vbProcedure="false">'Календар і фази'!$C$4</definedName>
    <definedName function="false" hidden="false" name="x_pe_D" vbProcedure="false">'Календар і фази'!$C$3</definedName>
    <definedName function="false" hidden="false" name="x_pe_T" vbProcedure="false">'Календар і фази'!$C$5</definedName>
    <definedName function="false" hidden="false" name="x_pm_A" vbProcedure="false">'Календар і фази'!$E$2</definedName>
    <definedName function="false" hidden="false" name="x_pm_B" vbProcedure="false">'Календар і фази'!$E$4</definedName>
    <definedName function="false" hidden="false" name="x_pm_D" vbProcedure="false">'Календар і фази'!$E$3</definedName>
    <definedName function="false" hidden="false" name="x_pm_T" vbProcedure="false">'Календар і фази'!$E$5</definedName>
    <definedName function="false" hidden="false" name="x_ps_A" vbProcedure="false">'Календар і фази'!$B$2</definedName>
    <definedName function="false" hidden="false" name="x_ps_B" vbProcedure="false">'Календар і фази'!$B$4</definedName>
    <definedName function="false" hidden="false" name="x_ps_D" vbProcedure="false">'Календар і фази'!$B$3</definedName>
    <definedName function="false" hidden="false" name="x_ps_T" vbProcedure="false">'Календар і фази'!$B$5</definedName>
    <definedName function="false" hidden="false" name="x_r1_impact" vbProcedure="false">'Параметри ЛР3'!$C$21</definedName>
    <definedName function="false" hidden="false" name="x_r1_month" vbProcedure="false">'Параметри ЛР3'!$C$22</definedName>
    <definedName function="false" hidden="false" name="x_r1_p" vbProcedure="false">'Параметри ЛР3'!$C$20</definedName>
    <definedName function="false" hidden="false" name="x_r2_days" vbProcedure="false">'Параметри ЛР3'!$C$24</definedName>
    <definedName function="false" hidden="false" name="x_r2_p" vbProcedure="false">'Параметри ЛР3'!$C$23</definedName>
    <definedName function="false" hidden="false" name="x_r2_turnover" vbProcedure="false">'Параметри ЛР3'!$C$25</definedName>
    <definedName function="false" hidden="false" name="x_rate_BA" vbProcedure="false">'Параметри ЛР3'!$C$8</definedName>
    <definedName function="false" hidden="false" name="x_rate_DEV" vbProcedure="false">'Параметри ЛР3'!$C$10</definedName>
    <definedName function="false" hidden="false" name="x_rate_OPS" vbProcedure="false">'Параметри ЛР3'!$C$12</definedName>
    <definedName function="false" hidden="false" name="x_rate_QA" vbProcedure="false">'Параметри ЛР3'!$C$11</definedName>
    <definedName function="false" hidden="false" name="x_rate_UX" vbProcedure="false">'Параметри ЛР3'!$C$9</definedName>
    <definedName function="false" hidden="false" name="x_ret_alt" vbProcedure="false">'Параметри ЛР3'!$C$42</definedName>
    <definedName function="false" hidden="false" name="x_ret_days" vbProcedure="false">'Параметри ЛР3'!$C$41</definedName>
    <definedName function="false" hidden="false" name="x_start" vbProcedure="false">'Параметри ЛР3'!$C$2</definedName>
    <definedName function="false" hidden="false" name="x_sup_ba" vbProcedure="false">'Параметри ЛР3'!$C$33</definedName>
    <definedName function="false" hidden="false" name="x_sup_ops" vbProcedure="false">'Параметри ЛР3'!$C$32</definedName>
    <definedName function="false" hidden="false" name="x_tco_alt" vbProcedure="false">TCO!$G$10</definedName>
    <definedName function="false" hidden="false" name="x_tco_cloud" vbProcedure="false">TCO!$D$10</definedName>
    <definedName function="false" hidden="false" name="x_team_month" vbProcedure="false">Labor!$C$11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<sst xmlns="http://schemas.openxmlformats.org/spreadsheetml/2006/main" count="486" uniqueCount="333">
  <si>
    <t xml:space="preserve">Ім'я</t>
  </si>
  <si>
    <t xml:space="preserve">Показник</t>
  </si>
  <si>
    <t xml:space="preserve">Значення</t>
  </si>
  <si>
    <t xml:space="preserve">Одиниця</t>
  </si>
  <si>
    <t xml:space="preserve">Тип</t>
  </si>
  <si>
    <t xml:space="preserve">Пояснення</t>
  </si>
  <si>
    <t xml:space="preserve">x_start</t>
  </si>
  <si>
    <t xml:space="preserve">Старт проєкту</t>
  </si>
  <si>
    <t xml:space="preserve">дата</t>
  </si>
  <si>
    <t xml:space="preserve">Д</t>
  </si>
  <si>
    <t xml:space="preserve">ЛР № 2</t>
  </si>
  <si>
    <t xml:space="preserve">x_bl_days</t>
  </si>
  <si>
    <t xml:space="preserve">Baseline MVP</t>
  </si>
  <si>
    <t xml:space="preserve">роб. днів</t>
  </si>
  <si>
    <t xml:space="preserve">ЛР № 2, P80 з contingency</t>
  </si>
  <si>
    <t xml:space="preserve">x_ef11</t>
  </si>
  <si>
    <t xml:space="preserve">Кінець аналізу: EF пакета 1.1</t>
  </si>
  <si>
    <t xml:space="preserve">Р</t>
  </si>
  <si>
    <t xml:space="preserve">ЛР № 2, CPM</t>
  </si>
  <si>
    <t xml:space="preserve">x_ef12</t>
  </si>
  <si>
    <t xml:space="preserve">Кінець проєктування: EF пакета 1.2</t>
  </si>
  <si>
    <t xml:space="preserve">x_fc</t>
  </si>
  <si>
    <t xml:space="preserve">Feature complete</t>
  </si>
  <si>
    <t xml:space="preserve">ЛР № 2, віха</t>
  </si>
  <si>
    <t xml:space="preserve">x_mr_days</t>
  </si>
  <si>
    <t xml:space="preserve">Management reserve за строком</t>
  </si>
  <si>
    <t xml:space="preserve">x_rate_BA</t>
  </si>
  <si>
    <t xml:space="preserve">Loaded rate BA/PM</t>
  </si>
  <si>
    <t xml:space="preserve">EUR/міс.</t>
  </si>
  <si>
    <t xml:space="preserve">набір B</t>
  </si>
  <si>
    <t xml:space="preserve">x_rate_UX</t>
  </si>
  <si>
    <t xml:space="preserve">Loaded rate UX</t>
  </si>
  <si>
    <t xml:space="preserve">x_rate_DEV</t>
  </si>
  <si>
    <t xml:space="preserve">Loaded rate Developer</t>
  </si>
  <si>
    <t xml:space="preserve">x_rate_QA</t>
  </si>
  <si>
    <t xml:space="preserve">Loaded rate QA</t>
  </si>
  <si>
    <t xml:space="preserve">x_rate_OPS</t>
  </si>
  <si>
    <t xml:space="preserve">Loaded rate DevOps</t>
  </si>
  <si>
    <t xml:space="preserve">x_esv</t>
  </si>
  <si>
    <t xml:space="preserve">Ставка ЄСВ роботодавця</t>
  </si>
  <si>
    <t xml:space="preserve">частка</t>
  </si>
  <si>
    <t xml:space="preserve">закон про ЄСВ</t>
  </si>
  <si>
    <t xml:space="preserve">x_min_wage</t>
  </si>
  <si>
    <t xml:space="preserve">Мінімальна зарплата 2026</t>
  </si>
  <si>
    <t xml:space="preserve">UAH</t>
  </si>
  <si>
    <t xml:space="preserve">закон про бюджет 2026</t>
  </si>
  <si>
    <t xml:space="preserve">x_cap_mult</t>
  </si>
  <si>
    <t xml:space="preserve">Максимальна база ЄСВ</t>
  </si>
  <si>
    <t xml:space="preserve">мін. зарплат</t>
  </si>
  <si>
    <t xml:space="preserve">x_fx</t>
  </si>
  <si>
    <t xml:space="preserve">Курс</t>
  </si>
  <si>
    <t xml:space="preserve">UAH/EUR</t>
  </si>
  <si>
    <t xml:space="preserve">П</t>
  </si>
  <si>
    <t xml:space="preserve">лише для межі бази ЄСВ</t>
  </si>
  <si>
    <t xml:space="preserve">x_benefits</t>
  </si>
  <si>
    <t xml:space="preserve">Бенефіти на FTE</t>
  </si>
  <si>
    <t xml:space="preserve">медичне страхування 50, навчання 30</t>
  </si>
  <si>
    <t xml:space="preserve">x_overhead</t>
  </si>
  <si>
    <t xml:space="preserve">Накладні на FTE</t>
  </si>
  <si>
    <t xml:space="preserve">робоче місце 250, ноутбук 100, бухгалтерія і HR 200, офісне ПЗ 100</t>
  </si>
  <si>
    <t xml:space="preserve">x_days_avg</t>
  </si>
  <si>
    <t xml:space="preserve">Робочих днів у середньому місяці</t>
  </si>
  <si>
    <t xml:space="preserve">днів</t>
  </si>
  <si>
    <t xml:space="preserve">261 / 12</t>
  </si>
  <si>
    <t xml:space="preserve">x_r1_p</t>
  </si>
  <si>
    <t xml:space="preserve">R1: імовірність</t>
  </si>
  <si>
    <t xml:space="preserve">варіант 14</t>
  </si>
  <si>
    <t xml:space="preserve">x_r1_impact</t>
  </si>
  <si>
    <t xml:space="preserve">R1: фінансовий вплив</t>
  </si>
  <si>
    <t xml:space="preserve">EUR</t>
  </si>
  <si>
    <t xml:space="preserve">варіант 14, 16 тис.</t>
  </si>
  <si>
    <t xml:space="preserve">x_r1_month</t>
  </si>
  <si>
    <t xml:space="preserve">R1: місяць запланованої реакції</t>
  </si>
  <si>
    <t xml:space="preserve">M</t>
  </si>
  <si>
    <t xml:space="preserve">після F3 на тест-стенді</t>
  </si>
  <si>
    <t xml:space="preserve">x_r2_p</t>
  </si>
  <si>
    <t xml:space="preserve">R2: імовірність</t>
  </si>
  <si>
    <t xml:space="preserve">розрахунок через плинність</t>
  </si>
  <si>
    <t xml:space="preserve">x_r2_days</t>
  </si>
  <si>
    <t xml:space="preserve">R2: зсув фінішу</t>
  </si>
  <si>
    <t xml:space="preserve">передача знань і онбординг</t>
  </si>
  <si>
    <t xml:space="preserve">x_r2_turnover</t>
  </si>
  <si>
    <t xml:space="preserve">Річна плинність розробників</t>
  </si>
  <si>
    <t xml:space="preserve">x_cloud_y1</t>
  </si>
  <si>
    <t xml:space="preserve">Cloud production Y1</t>
  </si>
  <si>
    <t xml:space="preserve">EUR/рік</t>
  </si>
  <si>
    <t xml:space="preserve">x_g2</t>
  </si>
  <si>
    <t xml:space="preserve">Growth Y2</t>
  </si>
  <si>
    <t xml:space="preserve">x_g3</t>
  </si>
  <si>
    <t xml:space="preserve">Growth Y3</t>
  </si>
  <si>
    <t xml:space="preserve">x_alt_start</t>
  </si>
  <si>
    <t xml:space="preserve">Альтернатива: start</t>
  </si>
  <si>
    <t xml:space="preserve">x_alt_op</t>
  </si>
  <si>
    <t xml:space="preserve">Альтернатива: op</t>
  </si>
  <si>
    <t xml:space="preserve">x_alt_month</t>
  </si>
  <si>
    <t xml:space="preserve">Місяць start-up альтернативи</t>
  </si>
  <si>
    <t xml:space="preserve">до релізу</t>
  </si>
  <si>
    <t xml:space="preserve">x_sup_ops</t>
  </si>
  <si>
    <t xml:space="preserve">Support: FTE DevOps</t>
  </si>
  <si>
    <t xml:space="preserve">FTE</t>
  </si>
  <si>
    <t xml:space="preserve">x_sup_ba</t>
  </si>
  <si>
    <t xml:space="preserve">Support: FTE BA/PM</t>
  </si>
  <si>
    <t xml:space="preserve">x_chg_dev</t>
  </si>
  <si>
    <t xml:space="preserve">Change: FTE Developer</t>
  </si>
  <si>
    <t xml:space="preserve">x_chg_qa</t>
  </si>
  <si>
    <t xml:space="preserve">Change: FTE QA</t>
  </si>
  <si>
    <t xml:space="preserve">x_crisk_p</t>
  </si>
  <si>
    <t xml:space="preserve">Cloud risk: імовірність на рік</t>
  </si>
  <si>
    <t xml:space="preserve">x_crisk_s</t>
  </si>
  <si>
    <t xml:space="preserve">Cloud risk: перевищення</t>
  </si>
  <si>
    <t xml:space="preserve">частка cloud</t>
  </si>
  <si>
    <t xml:space="preserve">x_arisk_p</t>
  </si>
  <si>
    <t xml:space="preserve">Alt risk: імовірність на рік</t>
  </si>
  <si>
    <t xml:space="preserve">x_arisk_hw</t>
  </si>
  <si>
    <t xml:space="preserve">Alt risk: заміна вузла</t>
  </si>
  <si>
    <t xml:space="preserve">x_arisk_d</t>
  </si>
  <si>
    <t xml:space="preserve">Alt risk: днів DevOps</t>
  </si>
  <si>
    <t xml:space="preserve">x_ret_days</t>
  </si>
  <si>
    <t xml:space="preserve">Retirement: днів DevOps</t>
  </si>
  <si>
    <t xml:space="preserve">x_ret_alt</t>
  </si>
  <si>
    <t xml:space="preserve">Retirement альтернативи: демонтаж</t>
  </si>
  <si>
    <t xml:space="preserve">x_disc</t>
  </si>
  <si>
    <t xml:space="preserve">Ставка дисконтування</t>
  </si>
  <si>
    <t xml:space="preserve">довідково</t>
  </si>
  <si>
    <t xml:space="preserve">Неробочі дні</t>
  </si>
  <si>
    <t xml:space="preserve">ID</t>
  </si>
  <si>
    <t xml:space="preserve">Припущення</t>
  </si>
  <si>
    <t xml:space="preserve">Підстава або джерело</t>
  </si>
  <si>
    <t xml:space="preserve">A1</t>
  </si>
  <si>
    <t xml:space="preserve">Ставки ролей</t>
  </si>
  <si>
    <t xml:space="preserve">набір B: BA/PM 4 600, UX 4 300, Developer 5 700, QA 4 200, DevOps 6 100 EUR/міс.</t>
  </si>
  <si>
    <t xml:space="preserve">рядок варіанта 14, набір B</t>
  </si>
  <si>
    <t xml:space="preserve">A2</t>
  </si>
  <si>
    <t xml:space="preserve">Склад loaded rate</t>
  </si>
  <si>
    <t xml:space="preserve">оклад + ЄСВ 22% (база не більше 20 мінімальних зарплат) + бенефіти 80 + накладні 650 EUR/міс. на FTE</t>
  </si>
  <si>
    <t xml:space="preserve">штатна модель; накладні включають робоче місце, ноутбук, бухгалтерію, офісне ПЗ</t>
  </si>
  <si>
    <t xml:space="preserve">A3</t>
  </si>
  <si>
    <t xml:space="preserve">Курс для бази ЄСВ</t>
  </si>
  <si>
    <t xml:space="preserve">48 UAH за 1 EUR</t>
  </si>
  <si>
    <t xml:space="preserve">лише для межі бази ЄСВ; модель у EUR</t>
  </si>
  <si>
    <t xml:space="preserve">A4</t>
  </si>
  <si>
    <t xml:space="preserve">Тривалість MVP</t>
  </si>
  <si>
    <t xml:space="preserve">132 роб. дні (baseline ЛР № 2), 02.11.2026...06.05.2027</t>
  </si>
  <si>
    <t xml:space="preserve">A5</t>
  </si>
  <si>
    <t xml:space="preserve">Межі фаз</t>
  </si>
  <si>
    <t xml:space="preserve">аналіз 0...8,33; проєктування 8,33...21,67; розроблення 21,67...98,17; тестування і реліз 98,17...132 роб. дня</t>
  </si>
  <si>
    <t xml:space="preserve">EF пакетів 1.1, 1.2, віха Feature complete, baseline</t>
  </si>
  <si>
    <t xml:space="preserve">A6</t>
  </si>
  <si>
    <t xml:space="preserve">FTE ролей за фазами</t>
  </si>
  <si>
    <t xml:space="preserve">розробники 2,0 у всіх фазах; BA/PM, QA, DevOps від 0,25 до 0,75 за піковим тижневим навантаженням WBS</t>
  </si>
  <si>
    <t xml:space="preserve">округлення вгору до 0,25, не більше FTE ЛР № 2</t>
  </si>
  <si>
    <t xml:space="preserve">A7</t>
  </si>
  <si>
    <t xml:space="preserve">Прямі витрати MVP</t>
  </si>
  <si>
    <t xml:space="preserve">обладнання 4 000, ліцензії 7 000, cloud розроблення 4 000 EUR</t>
  </si>
  <si>
    <t xml:space="preserve">рядок варіанта 14, розподіл за статтями П</t>
  </si>
  <si>
    <t xml:space="preserve">A8</t>
  </si>
  <si>
    <t xml:space="preserve">Ризик R1</t>
  </si>
  <si>
    <t xml:space="preserve">40% × 16 000 EUR, нестабільні лічильники</t>
  </si>
  <si>
    <t xml:space="preserve">рядок варіанта 14</t>
  </si>
  <si>
    <t xml:space="preserve">A9</t>
  </si>
  <si>
    <t xml:space="preserve">Ризик R2</t>
  </si>
  <si>
    <t xml:space="preserve">25% × (5 700 + 19 900 × 10 / 21,75) EUR, вибуття розробника</t>
  </si>
  <si>
    <t xml:space="preserve">річна плинність 25%, 2 розробники, 6,19 міс.</t>
  </si>
  <si>
    <t xml:space="preserve">A10</t>
  </si>
  <si>
    <t xml:space="preserve">Cloud production</t>
  </si>
  <si>
    <t xml:space="preserve">Y1 12 000 EUR; Y2 +20%; Y3 +10%</t>
  </si>
  <si>
    <t xml:space="preserve">рядок варіанта 14; growth моделює зростання використання</t>
  </si>
  <si>
    <t xml:space="preserve">A11</t>
  </si>
  <si>
    <t xml:space="preserve">Альтернатива</t>
  </si>
  <si>
    <t xml:space="preserve">fixed hosting у колокації: start 36 000 EUR, op 15 000 EUR на рік</t>
  </si>
  <si>
    <t xml:space="preserve">A12</t>
  </si>
  <si>
    <t xml:space="preserve">Support і change після релізу</t>
  </si>
  <si>
    <t xml:space="preserve">support 0,25 DevOps + 0,25 BA/PM (чергування, оновлення, онбординг нових будівель); change 0,5 Developer + 0,25 QA</t>
  </si>
  <si>
    <t xml:space="preserve">однаково для обох сценаріїв; підтримка будівлі (консультації клієнта, перевірка нестабільних лічильників) є змінною витратою 4,80 EUR у COGS ЛР № 1 і в support не дублюється</t>
  </si>
  <si>
    <t xml:space="preserve">A13</t>
  </si>
  <si>
    <t xml:space="preserve">Пострелізні ризики</t>
  </si>
  <si>
    <t xml:space="preserve">cloud 30% × 20% річного cloud; альтернатива 10% × (5 000 + 10 днів DevOps)</t>
  </si>
  <si>
    <t xml:space="preserve">різні механізми ризику сценаріїв</t>
  </si>
  <si>
    <t xml:space="preserve">A14</t>
  </si>
  <si>
    <t xml:space="preserve">Retirement</t>
  </si>
  <si>
    <t xml:space="preserve">10 днів DevOps; для альтернативи ще 700 EUR на демонтаж і знищення дисків</t>
  </si>
  <si>
    <t xml:space="preserve">в кінці Y3</t>
  </si>
  <si>
    <t xml:space="preserve">A15</t>
  </si>
  <si>
    <t xml:space="preserve">Інфляція і горизонт</t>
  </si>
  <si>
    <t xml:space="preserve">постійні ціни EUR, без індексації; 3 роки експлуатації після релізу</t>
  </si>
  <si>
    <t xml:space="preserve">однаково для обох сценаріїв</t>
  </si>
  <si>
    <t xml:space="preserve">Роль</t>
  </si>
  <si>
    <t xml:space="preserve">Loaded rate</t>
  </si>
  <si>
    <t xml:space="preserve">Накладні</t>
  </si>
  <si>
    <t xml:space="preserve">Бенефіти</t>
  </si>
  <si>
    <t xml:space="preserve">Оклад</t>
  </si>
  <si>
    <t xml:space="preserve">ЄСВ</t>
  </si>
  <si>
    <t xml:space="preserve">Сума складових</t>
  </si>
  <si>
    <t xml:space="preserve">Частка окладу</t>
  </si>
  <si>
    <t xml:space="preserve">Контроль</t>
  </si>
  <si>
    <t xml:space="preserve">BA/PM</t>
  </si>
  <si>
    <t xml:space="preserve">UX</t>
  </si>
  <si>
    <t xml:space="preserve">Developer</t>
  </si>
  <si>
    <t xml:space="preserve">QA</t>
  </si>
  <si>
    <t xml:space="preserve">DevOps</t>
  </si>
  <si>
    <t xml:space="preserve">Максимальна база ЄСВ, EUR/міс.</t>
  </si>
  <si>
    <t xml:space="preserve">Фаза</t>
  </si>
  <si>
    <t xml:space="preserve">Початок, роб. день</t>
  </si>
  <si>
    <t xml:space="preserve">Кінець, роб. день</t>
  </si>
  <si>
    <t xml:space="preserve">Тривалість, роб. днів</t>
  </si>
  <si>
    <t xml:space="preserve">Тривалість, міс.</t>
  </si>
  <si>
    <t xml:space="preserve">Аналіз</t>
  </si>
  <si>
    <t xml:space="preserve">Проєктування</t>
  </si>
  <si>
    <t xml:space="preserve">Розроблення</t>
  </si>
  <si>
    <t xml:space="preserve">Тестування і реліз</t>
  </si>
  <si>
    <t xml:space="preserve">Разом</t>
  </si>
  <si>
    <t xml:space="preserve">Місяць</t>
  </si>
  <si>
    <t xml:space="preserve">Початок</t>
  </si>
  <si>
    <t xml:space="preserve">Кінець</t>
  </si>
  <si>
    <t xml:space="preserve">Роб. днів</t>
  </si>
  <si>
    <t xml:space="preserve">Наростом на початок</t>
  </si>
  <si>
    <t xml:space="preserve">Наростом на кінець</t>
  </si>
  <si>
    <t xml:space="preserve">Частка: аналіз</t>
  </si>
  <si>
    <t xml:space="preserve">Частка: проєктування</t>
  </si>
  <si>
    <t xml:space="preserve">Частка: розроблення</t>
  </si>
  <si>
    <t xml:space="preserve">Частка: тест і реліз</t>
  </si>
  <si>
    <t xml:space="preserve">Частка експлуатації</t>
  </si>
  <si>
    <t xml:space="preserve">M1 лис 26</t>
  </si>
  <si>
    <t xml:space="preserve">M2 гру 26</t>
  </si>
  <si>
    <t xml:space="preserve">M3 січ 27</t>
  </si>
  <si>
    <t xml:space="preserve">M4 лют 27</t>
  </si>
  <si>
    <t xml:space="preserve">M5 бер 27</t>
  </si>
  <si>
    <t xml:space="preserve">M6 кві 27</t>
  </si>
  <si>
    <t xml:space="preserve">M7 тра 27</t>
  </si>
  <si>
    <t xml:space="preserve">M8 чер 27</t>
  </si>
  <si>
    <t xml:space="preserve">M9 лип 27</t>
  </si>
  <si>
    <t xml:space="preserve">M10 сер 27</t>
  </si>
  <si>
    <t xml:space="preserve">M11 вер 27</t>
  </si>
  <si>
    <t xml:space="preserve">M12 жов 27</t>
  </si>
  <si>
    <t xml:space="preserve">Loaded rate, EUR/міс.</t>
  </si>
  <si>
    <t xml:space="preserve">FTE: аналіз</t>
  </si>
  <si>
    <t xml:space="preserve">FTE: проєктування</t>
  </si>
  <si>
    <t xml:space="preserve">FTE: розроблення</t>
  </si>
  <si>
    <t xml:space="preserve">FTE: тест і реліз</t>
  </si>
  <si>
    <t xml:space="preserve">FTE-міс.: аналіз</t>
  </si>
  <si>
    <t xml:space="preserve">FTE-міс.: проєктування</t>
  </si>
  <si>
    <t xml:space="preserve">FTE-міс.: розроблення</t>
  </si>
  <si>
    <t xml:space="preserve">FTE-міс.: тест і реліз</t>
  </si>
  <si>
    <t xml:space="preserve">FTE-міс. разом</t>
  </si>
  <si>
    <t xml:space="preserve">Вартість, EUR</t>
  </si>
  <si>
    <t xml:space="preserve">FTE у ЛР № 2</t>
  </si>
  <si>
    <t xml:space="preserve">Developer (2 особи)</t>
  </si>
  <si>
    <t xml:space="preserve">Вартість команди за повний місяць фази</t>
  </si>
  <si>
    <t xml:space="preserve">Вартість фази, EUR</t>
  </si>
  <si>
    <t xml:space="preserve">Команда за FTE ЛР № 2, EUR/міс.</t>
  </si>
  <si>
    <t xml:space="preserve">Стаття</t>
  </si>
  <si>
    <t xml:space="preserve">Позиція</t>
  </si>
  <si>
    <t xml:space="preserve">Сума, EUR</t>
  </si>
  <si>
    <t xml:space="preserve">Обладнання</t>
  </si>
  <si>
    <t xml:space="preserve">Прототип шлюзу: мінікомп'ютер, адаптер RS-485, LTE модем, 3 лічильники</t>
  </si>
  <si>
    <t xml:space="preserve">Тест-стенд: 6 типів лічильників, імітатор обривів</t>
  </si>
  <si>
    <t xml:space="preserve">Шлюз і монтажні матеріали пілотної будівлі</t>
  </si>
  <si>
    <t xml:space="preserve">Ліцензії</t>
  </si>
  <si>
    <t xml:space="preserve">Інструменти розробки, репозиторій, трекер задач і CI на 5 осіб</t>
  </si>
  <si>
    <t xml:space="preserve">ПЗ тест-стенда: аналізатор і симулятор Modbus</t>
  </si>
  <si>
    <t xml:space="preserve">Бібліотека графіків дашборда, комерційна ліцензія</t>
  </si>
  <si>
    <t xml:space="preserve">Навантажувальне і безпекове тестування: хмарний сервіс k6 і сканер вразливостей</t>
  </si>
  <si>
    <t xml:space="preserve">Cloud розроблення</t>
  </si>
  <si>
    <t xml:space="preserve">dev і stage, CI, тестовий брокер</t>
  </si>
  <si>
    <t xml:space="preserve">Ризик</t>
  </si>
  <si>
    <t xml:space="preserve">Імовірність</t>
  </si>
  <si>
    <t xml:space="preserve">Вплив, EUR</t>
  </si>
  <si>
    <t xml:space="preserve">EMV, EUR</t>
  </si>
  <si>
    <t xml:space="preserve">Місяць реакції</t>
  </si>
  <si>
    <t xml:space="preserve">Довідково</t>
  </si>
  <si>
    <t xml:space="preserve">R1</t>
  </si>
  <si>
    <t xml:space="preserve">Нестабільні лічильники (варіант)</t>
  </si>
  <si>
    <t xml:space="preserve">R2</t>
  </si>
  <si>
    <t xml:space="preserve">Вибуття розробника</t>
  </si>
  <si>
    <t xml:space="preserve">немає</t>
  </si>
  <si>
    <t xml:space="preserve">Додаємо окремо?</t>
  </si>
  <si>
    <t xml:space="preserve">Підстава</t>
  </si>
  <si>
    <t xml:space="preserve">Loaded labor</t>
  </si>
  <si>
    <t xml:space="preserve">ні, базова стаття</t>
  </si>
  <si>
    <t xml:space="preserve">аркуш Labor</t>
  </si>
  <si>
    <t xml:space="preserve">так, не входить у ставку</t>
  </si>
  <si>
    <t xml:space="preserve">так</t>
  </si>
  <si>
    <t xml:space="preserve">Base cost estimate MVP</t>
  </si>
  <si>
    <t xml:space="preserve">labor + прямі</t>
  </si>
  <si>
    <t xml:space="preserve">Contingency</t>
  </si>
  <si>
    <t xml:space="preserve">EMV R1 + EMV R2</t>
  </si>
  <si>
    <t xml:space="preserve">Cost baseline MVP</t>
  </si>
  <si>
    <t xml:space="preserve">base estimate + contingency</t>
  </si>
  <si>
    <t xml:space="preserve">Management reserve</t>
  </si>
  <si>
    <t xml:space="preserve">окремо</t>
  </si>
  <si>
    <t xml:space="preserve">R1: вплив мінус EMV</t>
  </si>
  <si>
    <t xml:space="preserve">Project budget</t>
  </si>
  <si>
    <t xml:space="preserve">cost baseline + MR</t>
  </si>
  <si>
    <t xml:space="preserve">Стаття, EUR</t>
  </si>
  <si>
    <t xml:space="preserve">Labor MVP</t>
  </si>
  <si>
    <t xml:space="preserve">Обладнання / ліцензії</t>
  </si>
  <si>
    <t xml:space="preserve">Cloud розроблення / operation</t>
  </si>
  <si>
    <t xml:space="preserve">Використання резерву</t>
  </si>
  <si>
    <t xml:space="preserve">Разом cash burn</t>
  </si>
  <si>
    <t xml:space="preserve">Наростаючим підсумком</t>
  </si>
  <si>
    <t xml:space="preserve">Альтернатива: разом cash burn</t>
  </si>
  <si>
    <t xml:space="preserve">Contingency, EUR</t>
  </si>
  <si>
    <t xml:space="preserve">Використано в плані M1...M12, EUR</t>
  </si>
  <si>
    <t xml:space="preserve">Залишок contingency, EUR</t>
  </si>
  <si>
    <t xml:space="preserve">Management reserve (поза baseline), EUR</t>
  </si>
  <si>
    <t xml:space="preserve">Місяць релізу</t>
  </si>
  <si>
    <t xml:space="preserve">Компонент</t>
  </si>
  <si>
    <t xml:space="preserve">Cloud Y1</t>
  </si>
  <si>
    <t xml:space="preserve">Cloud Y2</t>
  </si>
  <si>
    <t xml:space="preserve">Cloud Y3</t>
  </si>
  <si>
    <t xml:space="preserve">Альтернатива Y1</t>
  </si>
  <si>
    <t xml:space="preserve">Альтернатива Y2</t>
  </si>
  <si>
    <t xml:space="preserve">Альтернатива Y3</t>
  </si>
  <si>
    <t xml:space="preserve">Річна база</t>
  </si>
  <si>
    <t xml:space="preserve">Cloud Σ3</t>
  </si>
  <si>
    <t xml:space="preserve">Альтернатива Σ3</t>
  </si>
  <si>
    <t xml:space="preserve">MVP / start-up</t>
  </si>
  <si>
    <t xml:space="preserve">Operation</t>
  </si>
  <si>
    <t xml:space="preserve">Support</t>
  </si>
  <si>
    <t xml:space="preserve">Change</t>
  </si>
  <si>
    <t xml:space="preserve">Risk після релізу</t>
  </si>
  <si>
    <t xml:space="preserve">Change і risk</t>
  </si>
  <si>
    <t xml:space="preserve">Разом за рік</t>
  </si>
  <si>
    <t xml:space="preserve">TCO3</t>
  </si>
  <si>
    <t xml:space="preserve">Різниця: альтернатива мінус cloud</t>
  </si>
  <si>
    <t xml:space="preserve">PV при ставці дисконтування</t>
  </si>
  <si>
    <t xml:space="preserve">Cloud Y1, множник</t>
  </si>
  <si>
    <t xml:space="preserve">Cloud Y1, EUR</t>
  </si>
  <si>
    <t xml:space="preserve">TCO3 cloud</t>
  </si>
  <si>
    <t xml:space="preserve">TCO3 альтернатива</t>
  </si>
  <si>
    <t xml:space="preserve">Різниця</t>
  </si>
  <si>
    <t xml:space="preserve">Рішення</t>
  </si>
  <si>
    <t xml:space="preserve">Беззбитковий множник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</si>
</sst>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.##"/>
    <numFmt numFmtId="167" formatCode="0.0000"/>
    <numFmt numFmtId="168" formatCode="#,##0.0"/>
    <numFmt numFmtId="169" formatCode="0.0%"/>
    <numFmt numFmtId="170" formatCode="0.00"/>
    <numFmt numFmtId="171" formatCode="0.000"/>
    <numFmt numFmtId="172" formatCode="#,##0"/>
    <numFmt numFmtId="173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8F7"/>
        <bgColor rgb="FFCCFFFF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890"/>
      </left>
      <right style="thin">
        <color rgb="FF9A9890"/>
      </right>
      <top style="thin">
        <color rgb="FF9A9890"/>
      </top>
      <bottom style="thin">
        <color rgb="FF9A989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89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6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46328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4" t="n">
        <v>132</v>
      </c>
      <c r="D3" s="2" t="s">
        <v>13</v>
      </c>
      <c r="E3" s="2" t="s">
        <v>9</v>
      </c>
      <c r="F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5" t="n">
        <v>8.33333333333333</v>
      </c>
      <c r="D4" s="2" t="s">
        <v>13</v>
      </c>
      <c r="E4" s="2" t="s">
        <v>17</v>
      </c>
      <c r="F4" s="2" t="s">
        <v>18</v>
      </c>
    </row>
    <row r="5" customFormat="false" ht="15" hidden="false" customHeight="false" outlineLevel="0" collapsed="false">
      <c r="A5" s="2" t="s">
        <v>19</v>
      </c>
      <c r="B5" s="2" t="s">
        <v>20</v>
      </c>
      <c r="C5" s="5" t="n">
        <v>21.6666666666667</v>
      </c>
      <c r="D5" s="2" t="s">
        <v>13</v>
      </c>
      <c r="E5" s="2" t="s">
        <v>17</v>
      </c>
      <c r="F5" s="2" t="s">
        <v>18</v>
      </c>
    </row>
    <row r="6" customFormat="false" ht="15" hidden="false" customHeight="false" outlineLevel="0" collapsed="false">
      <c r="A6" s="2" t="s">
        <v>21</v>
      </c>
      <c r="B6" s="2" t="s">
        <v>22</v>
      </c>
      <c r="C6" s="5" t="n">
        <v>98.1666666666667</v>
      </c>
      <c r="D6" s="2" t="s">
        <v>13</v>
      </c>
      <c r="E6" s="2" t="s">
        <v>17</v>
      </c>
      <c r="F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4" t="n">
        <v>15</v>
      </c>
      <c r="D7" s="2" t="s">
        <v>13</v>
      </c>
      <c r="E7" s="2" t="s">
        <v>9</v>
      </c>
      <c r="F7" s="2" t="s">
        <v>10</v>
      </c>
    </row>
    <row r="8" customFormat="false" ht="15" hidden="false" customHeight="false" outlineLevel="0" collapsed="false">
      <c r="A8" s="2" t="s">
        <v>26</v>
      </c>
      <c r="B8" s="2" t="s">
        <v>27</v>
      </c>
      <c r="C8" s="4" t="n">
        <v>4600</v>
      </c>
      <c r="D8" s="2" t="s">
        <v>28</v>
      </c>
      <c r="E8" s="2" t="s">
        <v>9</v>
      </c>
      <c r="F8" s="2" t="s">
        <v>29</v>
      </c>
    </row>
    <row r="9" customFormat="false" ht="15" hidden="false" customHeight="false" outlineLevel="0" collapsed="false">
      <c r="A9" s="2" t="s">
        <v>30</v>
      </c>
      <c r="B9" s="2" t="s">
        <v>31</v>
      </c>
      <c r="C9" s="4" t="n">
        <v>4300</v>
      </c>
      <c r="D9" s="2" t="s">
        <v>28</v>
      </c>
      <c r="E9" s="2" t="s">
        <v>9</v>
      </c>
      <c r="F9" s="2" t="s">
        <v>29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4" t="n">
        <v>5700</v>
      </c>
      <c r="D10" s="2" t="s">
        <v>28</v>
      </c>
      <c r="E10" s="2" t="s">
        <v>9</v>
      </c>
      <c r="F10" s="2" t="s">
        <v>29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4" t="n">
        <v>4200</v>
      </c>
      <c r="D11" s="2" t="s">
        <v>28</v>
      </c>
      <c r="E11" s="2" t="s">
        <v>9</v>
      </c>
      <c r="F11" s="2" t="s">
        <v>29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4" t="n">
        <v>6100</v>
      </c>
      <c r="D12" s="2" t="s">
        <v>28</v>
      </c>
      <c r="E12" s="2" t="s">
        <v>9</v>
      </c>
      <c r="F12" s="2" t="s">
        <v>29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6" t="n">
        <v>0.22</v>
      </c>
      <c r="D13" s="2" t="s">
        <v>40</v>
      </c>
      <c r="E13" s="2" t="s">
        <v>9</v>
      </c>
      <c r="F13" s="2" t="s">
        <v>41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4" t="n">
        <v>8647</v>
      </c>
      <c r="D14" s="2" t="s">
        <v>44</v>
      </c>
      <c r="E14" s="2" t="s">
        <v>9</v>
      </c>
      <c r="F14" s="2" t="s">
        <v>45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4" t="n">
        <v>20</v>
      </c>
      <c r="D15" s="2" t="s">
        <v>48</v>
      </c>
      <c r="E15" s="2" t="s">
        <v>9</v>
      </c>
      <c r="F15" s="2" t="s">
        <v>41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4" t="n">
        <v>48</v>
      </c>
      <c r="D16" s="2" t="s">
        <v>51</v>
      </c>
      <c r="E16" s="2" t="s">
        <v>52</v>
      </c>
      <c r="F16" s="2" t="s">
        <v>53</v>
      </c>
    </row>
    <row r="17" customFormat="false" ht="15" hidden="false" customHeight="false" outlineLevel="0" collapsed="false">
      <c r="A17" s="2" t="s">
        <v>54</v>
      </c>
      <c r="B17" s="2" t="s">
        <v>55</v>
      </c>
      <c r="C17" s="4" t="n">
        <v>80</v>
      </c>
      <c r="D17" s="2" t="s">
        <v>28</v>
      </c>
      <c r="E17" s="2" t="s">
        <v>52</v>
      </c>
      <c r="F17" s="2" t="s">
        <v>56</v>
      </c>
    </row>
    <row r="18" customFormat="false" ht="23.85" hidden="false" customHeight="false" outlineLevel="0" collapsed="false">
      <c r="A18" s="2" t="s">
        <v>57</v>
      </c>
      <c r="B18" s="2" t="s">
        <v>58</v>
      </c>
      <c r="C18" s="4" t="n">
        <v>650</v>
      </c>
      <c r="D18" s="2" t="s">
        <v>28</v>
      </c>
      <c r="E18" s="2" t="s">
        <v>52</v>
      </c>
      <c r="F18" s="2" t="s">
        <v>59</v>
      </c>
    </row>
    <row r="19" customFormat="false" ht="15" hidden="false" customHeight="false" outlineLevel="0" collapsed="false">
      <c r="A19" s="2" t="s">
        <v>60</v>
      </c>
      <c r="B19" s="2" t="s">
        <v>61</v>
      </c>
      <c r="C19" s="5" t="n">
        <v>21.75</v>
      </c>
      <c r="D19" s="2" t="s">
        <v>62</v>
      </c>
      <c r="E19" s="2" t="s">
        <v>17</v>
      </c>
      <c r="F19" s="2" t="s">
        <v>63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6" t="n">
        <v>0.4</v>
      </c>
      <c r="D20" s="2" t="s">
        <v>40</v>
      </c>
      <c r="E20" s="2" t="s">
        <v>9</v>
      </c>
      <c r="F20" s="2" t="s">
        <v>66</v>
      </c>
    </row>
    <row r="21" customFormat="false" ht="15" hidden="false" customHeight="false" outlineLevel="0" collapsed="false">
      <c r="A21" s="2" t="s">
        <v>67</v>
      </c>
      <c r="B21" s="2" t="s">
        <v>68</v>
      </c>
      <c r="C21" s="4" t="n">
        <v>16000</v>
      </c>
      <c r="D21" s="2" t="s">
        <v>69</v>
      </c>
      <c r="E21" s="2" t="s">
        <v>9</v>
      </c>
      <c r="F21" s="2" t="s">
        <v>70</v>
      </c>
    </row>
    <row r="22" customFormat="false" ht="15" hidden="false" customHeight="false" outlineLevel="0" collapsed="false">
      <c r="A22" s="2" t="s">
        <v>71</v>
      </c>
      <c r="B22" s="2" t="s">
        <v>72</v>
      </c>
      <c r="C22" s="4" t="n">
        <v>5</v>
      </c>
      <c r="D22" s="2" t="s">
        <v>73</v>
      </c>
      <c r="E22" s="2" t="s">
        <v>52</v>
      </c>
      <c r="F22" s="2" t="s">
        <v>74</v>
      </c>
    </row>
    <row r="23" customFormat="false" ht="15" hidden="false" customHeight="false" outlineLevel="0" collapsed="false">
      <c r="A23" s="2" t="s">
        <v>75</v>
      </c>
      <c r="B23" s="2" t="s">
        <v>76</v>
      </c>
      <c r="C23" s="6" t="n">
        <v>0.25</v>
      </c>
      <c r="D23" s="2" t="s">
        <v>40</v>
      </c>
      <c r="E23" s="2" t="s">
        <v>52</v>
      </c>
      <c r="F23" s="2" t="s">
        <v>77</v>
      </c>
    </row>
    <row r="24" customFormat="false" ht="15" hidden="false" customHeight="false" outlineLevel="0" collapsed="false">
      <c r="A24" s="2" t="s">
        <v>78</v>
      </c>
      <c r="B24" s="2" t="s">
        <v>79</v>
      </c>
      <c r="C24" s="4" t="n">
        <v>10</v>
      </c>
      <c r="D24" s="2" t="s">
        <v>13</v>
      </c>
      <c r="E24" s="2" t="s">
        <v>52</v>
      </c>
      <c r="F24" s="2" t="s">
        <v>80</v>
      </c>
    </row>
    <row r="25" customFormat="false" ht="15" hidden="false" customHeight="false" outlineLevel="0" collapsed="false">
      <c r="A25" s="2" t="s">
        <v>81</v>
      </c>
      <c r="B25" s="2" t="s">
        <v>82</v>
      </c>
      <c r="C25" s="6" t="n">
        <v>0.25</v>
      </c>
      <c r="D25" s="2" t="s">
        <v>40</v>
      </c>
      <c r="E25" s="2" t="s">
        <v>52</v>
      </c>
      <c r="F25" s="2"/>
    </row>
    <row r="26" customFormat="false" ht="15" hidden="false" customHeight="false" outlineLevel="0" collapsed="false">
      <c r="A26" s="2" t="s">
        <v>83</v>
      </c>
      <c r="B26" s="2" t="s">
        <v>84</v>
      </c>
      <c r="C26" s="4" t="n">
        <v>12000</v>
      </c>
      <c r="D26" s="2" t="s">
        <v>85</v>
      </c>
      <c r="E26" s="2" t="s">
        <v>9</v>
      </c>
      <c r="F26" s="2" t="s">
        <v>66</v>
      </c>
    </row>
    <row r="27" customFormat="false" ht="15" hidden="false" customHeight="false" outlineLevel="0" collapsed="false">
      <c r="A27" s="2" t="s">
        <v>86</v>
      </c>
      <c r="B27" s="2" t="s">
        <v>87</v>
      </c>
      <c r="C27" s="6" t="n">
        <v>0.2</v>
      </c>
      <c r="D27" s="2" t="s">
        <v>40</v>
      </c>
      <c r="E27" s="2" t="s">
        <v>9</v>
      </c>
      <c r="F27" s="2" t="s">
        <v>66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6" t="n">
        <v>0.1</v>
      </c>
      <c r="D28" s="2" t="s">
        <v>40</v>
      </c>
      <c r="E28" s="2" t="s">
        <v>9</v>
      </c>
      <c r="F28" s="2" t="s">
        <v>66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4" t="n">
        <v>36000</v>
      </c>
      <c r="D29" s="2" t="s">
        <v>69</v>
      </c>
      <c r="E29" s="2" t="s">
        <v>9</v>
      </c>
      <c r="F29" s="2" t="s">
        <v>66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4" t="n">
        <v>15000</v>
      </c>
      <c r="D30" s="2" t="s">
        <v>85</v>
      </c>
      <c r="E30" s="2" t="s">
        <v>9</v>
      </c>
      <c r="F30" s="2" t="s">
        <v>66</v>
      </c>
    </row>
    <row r="31" customFormat="false" ht="15" hidden="false" customHeight="false" outlineLevel="0" collapsed="false">
      <c r="A31" s="2" t="s">
        <v>94</v>
      </c>
      <c r="B31" s="2" t="s">
        <v>95</v>
      </c>
      <c r="C31" s="4" t="n">
        <v>6</v>
      </c>
      <c r="D31" s="2" t="s">
        <v>73</v>
      </c>
      <c r="E31" s="2" t="s">
        <v>52</v>
      </c>
      <c r="F31" s="2" t="s">
        <v>96</v>
      </c>
    </row>
    <row r="32" customFormat="false" ht="15" hidden="false" customHeight="false" outlineLevel="0" collapsed="false">
      <c r="A32" s="2" t="s">
        <v>97</v>
      </c>
      <c r="B32" s="2" t="s">
        <v>98</v>
      </c>
      <c r="C32" s="6" t="n">
        <v>0.25</v>
      </c>
      <c r="D32" s="2" t="s">
        <v>99</v>
      </c>
      <c r="E32" s="2" t="s">
        <v>52</v>
      </c>
      <c r="F32" s="2"/>
    </row>
    <row r="33" customFormat="false" ht="15" hidden="false" customHeight="false" outlineLevel="0" collapsed="false">
      <c r="A33" s="2" t="s">
        <v>100</v>
      </c>
      <c r="B33" s="2" t="s">
        <v>101</v>
      </c>
      <c r="C33" s="6" t="n">
        <v>0.25</v>
      </c>
      <c r="D33" s="2" t="s">
        <v>99</v>
      </c>
      <c r="E33" s="2" t="s">
        <v>52</v>
      </c>
      <c r="F33" s="2"/>
    </row>
    <row r="34" customFormat="false" ht="15" hidden="false" customHeight="false" outlineLevel="0" collapsed="false">
      <c r="A34" s="2" t="s">
        <v>102</v>
      </c>
      <c r="B34" s="2" t="s">
        <v>103</v>
      </c>
      <c r="C34" s="6" t="n">
        <v>0.5</v>
      </c>
      <c r="D34" s="2" t="s">
        <v>99</v>
      </c>
      <c r="E34" s="2" t="s">
        <v>52</v>
      </c>
      <c r="F34" s="2"/>
    </row>
    <row r="35" customFormat="false" ht="15" hidden="false" customHeight="false" outlineLevel="0" collapsed="false">
      <c r="A35" s="2" t="s">
        <v>104</v>
      </c>
      <c r="B35" s="2" t="s">
        <v>105</v>
      </c>
      <c r="C35" s="6" t="n">
        <v>0.25</v>
      </c>
      <c r="D35" s="2" t="s">
        <v>99</v>
      </c>
      <c r="E35" s="2" t="s">
        <v>52</v>
      </c>
      <c r="F35" s="2"/>
    </row>
    <row r="36" customFormat="false" ht="15" hidden="false" customHeight="false" outlineLevel="0" collapsed="false">
      <c r="A36" s="2" t="s">
        <v>106</v>
      </c>
      <c r="B36" s="2" t="s">
        <v>107</v>
      </c>
      <c r="C36" s="6" t="n">
        <v>0.3</v>
      </c>
      <c r="D36" s="2" t="s">
        <v>40</v>
      </c>
      <c r="E36" s="2" t="s">
        <v>52</v>
      </c>
      <c r="F36" s="2"/>
    </row>
    <row r="37" customFormat="false" ht="15" hidden="false" customHeight="false" outlineLevel="0" collapsed="false">
      <c r="A37" s="2" t="s">
        <v>108</v>
      </c>
      <c r="B37" s="2" t="s">
        <v>109</v>
      </c>
      <c r="C37" s="6" t="n">
        <v>0.2</v>
      </c>
      <c r="D37" s="2" t="s">
        <v>110</v>
      </c>
      <c r="E37" s="2" t="s">
        <v>52</v>
      </c>
      <c r="F37" s="2"/>
    </row>
    <row r="38" customFormat="false" ht="15" hidden="false" customHeight="false" outlineLevel="0" collapsed="false">
      <c r="A38" s="2" t="s">
        <v>111</v>
      </c>
      <c r="B38" s="2" t="s">
        <v>112</v>
      </c>
      <c r="C38" s="6" t="n">
        <v>0.1</v>
      </c>
      <c r="D38" s="2" t="s">
        <v>40</v>
      </c>
      <c r="E38" s="2" t="s">
        <v>52</v>
      </c>
      <c r="F38" s="2"/>
    </row>
    <row r="39" customFormat="false" ht="15" hidden="false" customHeight="false" outlineLevel="0" collapsed="false">
      <c r="A39" s="2" t="s">
        <v>113</v>
      </c>
      <c r="B39" s="2" t="s">
        <v>114</v>
      </c>
      <c r="C39" s="4" t="n">
        <v>5000</v>
      </c>
      <c r="D39" s="2" t="s">
        <v>69</v>
      </c>
      <c r="E39" s="2" t="s">
        <v>52</v>
      </c>
      <c r="F39" s="2"/>
    </row>
    <row r="40" customFormat="false" ht="15" hidden="false" customHeight="false" outlineLevel="0" collapsed="false">
      <c r="A40" s="2" t="s">
        <v>115</v>
      </c>
      <c r="B40" s="2" t="s">
        <v>116</v>
      </c>
      <c r="C40" s="4" t="n">
        <v>10</v>
      </c>
      <c r="D40" s="2" t="s">
        <v>62</v>
      </c>
      <c r="E40" s="2" t="s">
        <v>52</v>
      </c>
      <c r="F40" s="2"/>
    </row>
    <row r="41" customFormat="false" ht="15" hidden="false" customHeight="false" outlineLevel="0" collapsed="false">
      <c r="A41" s="2" t="s">
        <v>117</v>
      </c>
      <c r="B41" s="2" t="s">
        <v>118</v>
      </c>
      <c r="C41" s="4" t="n">
        <v>10</v>
      </c>
      <c r="D41" s="2" t="s">
        <v>62</v>
      </c>
      <c r="E41" s="2" t="s">
        <v>52</v>
      </c>
      <c r="F41" s="2"/>
    </row>
    <row r="42" customFormat="false" ht="15" hidden="false" customHeight="false" outlineLevel="0" collapsed="false">
      <c r="A42" s="2" t="s">
        <v>119</v>
      </c>
      <c r="B42" s="2" t="s">
        <v>120</v>
      </c>
      <c r="C42" s="4" t="n">
        <v>700</v>
      </c>
      <c r="D42" s="2" t="s">
        <v>69</v>
      </c>
      <c r="E42" s="2" t="s">
        <v>52</v>
      </c>
      <c r="F42" s="2"/>
    </row>
    <row r="43" customFormat="false" ht="15" hidden="false" customHeight="false" outlineLevel="0" collapsed="false">
      <c r="A43" s="2" t="s">
        <v>121</v>
      </c>
      <c r="B43" s="2" t="s">
        <v>122</v>
      </c>
      <c r="C43" s="6" t="n">
        <v>0.1</v>
      </c>
      <c r="D43" s="2" t="s">
        <v>40</v>
      </c>
      <c r="E43" s="2" t="s">
        <v>52</v>
      </c>
      <c r="F43" s="2" t="s">
        <v>123</v>
      </c>
    </row>
    <row r="45" customFormat="false" ht="15" hidden="false" customHeight="false" outlineLevel="0" collapsed="false">
      <c r="A45" s="1" t="s">
        <v>124</v>
      </c>
    </row>
    <row r="46" customFormat="false" ht="15" hidden="false" customHeight="false" outlineLevel="0" collapsed="false">
      <c r="A46" s="3" t="n">
        <v>46387</v>
      </c>
    </row>
    <row r="47" customFormat="false" ht="15" hidden="false" customHeight="false" outlineLevel="0" collapsed="false">
      <c r="A47" s="3" t="n">
        <v>46388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6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2</v>
      </c>
      <c r="D1" s="1" t="s">
        <v>4</v>
      </c>
      <c r="E1" s="1" t="s">
        <v>127</v>
      </c>
    </row>
    <row r="2" customFormat="false" ht="23.85" hidden="false" customHeight="false" outlineLevel="0" collapsed="false">
      <c r="A2" s="2" t="s">
        <v>128</v>
      </c>
      <c r="B2" s="2" t="s">
        <v>129</v>
      </c>
      <c r="C2" s="2" t="s">
        <v>130</v>
      </c>
      <c r="D2" s="2" t="s">
        <v>9</v>
      </c>
      <c r="E2" s="2" t="s">
        <v>131</v>
      </c>
    </row>
    <row r="3" customFormat="false" ht="23.85" hidden="false" customHeight="false" outlineLevel="0" collapsed="false">
      <c r="A3" s="2" t="s">
        <v>132</v>
      </c>
      <c r="B3" s="2" t="s">
        <v>133</v>
      </c>
      <c r="C3" s="2" t="s">
        <v>134</v>
      </c>
      <c r="D3" s="2" t="s">
        <v>52</v>
      </c>
      <c r="E3" s="2" t="s">
        <v>135</v>
      </c>
    </row>
    <row r="4" customFormat="false" ht="15" hidden="false" customHeight="false" outlineLevel="0" collapsed="false">
      <c r="A4" s="2" t="s">
        <v>136</v>
      </c>
      <c r="B4" s="2" t="s">
        <v>137</v>
      </c>
      <c r="C4" s="2" t="s">
        <v>138</v>
      </c>
      <c r="D4" s="2" t="s">
        <v>52</v>
      </c>
      <c r="E4" s="2" t="s">
        <v>139</v>
      </c>
    </row>
    <row r="5" customFormat="false" ht="15" hidden="false" customHeight="false" outlineLevel="0" collapsed="false">
      <c r="A5" s="2" t="s">
        <v>140</v>
      </c>
      <c r="B5" s="2" t="s">
        <v>141</v>
      </c>
      <c r="C5" s="2" t="s">
        <v>142</v>
      </c>
      <c r="D5" s="2" t="s">
        <v>9</v>
      </c>
      <c r="E5" s="2" t="s">
        <v>14</v>
      </c>
    </row>
    <row r="6" customFormat="false" ht="23.85" hidden="false" customHeight="false" outlineLevel="0" collapsed="false">
      <c r="A6" s="2" t="s">
        <v>143</v>
      </c>
      <c r="B6" s="2" t="s">
        <v>144</v>
      </c>
      <c r="C6" s="2" t="s">
        <v>145</v>
      </c>
      <c r="D6" s="2" t="s">
        <v>17</v>
      </c>
      <c r="E6" s="2" t="s">
        <v>146</v>
      </c>
    </row>
    <row r="7" customFormat="false" ht="23.85" hidden="false" customHeight="false" outlineLevel="0" collapsed="false">
      <c r="A7" s="2" t="s">
        <v>147</v>
      </c>
      <c r="B7" s="2" t="s">
        <v>148</v>
      </c>
      <c r="C7" s="2" t="s">
        <v>149</v>
      </c>
      <c r="D7" s="2" t="s">
        <v>52</v>
      </c>
      <c r="E7" s="2" t="s">
        <v>150</v>
      </c>
    </row>
    <row r="8" customFormat="false" ht="15" hidden="false" customHeight="false" outlineLevel="0" collapsed="false">
      <c r="A8" s="2" t="s">
        <v>151</v>
      </c>
      <c r="B8" s="2" t="s">
        <v>152</v>
      </c>
      <c r="C8" s="2" t="s">
        <v>153</v>
      </c>
      <c r="D8" s="2" t="s">
        <v>9</v>
      </c>
      <c r="E8" s="2" t="s">
        <v>154</v>
      </c>
    </row>
    <row r="9" customFormat="false" ht="15" hidden="false" customHeight="false" outlineLevel="0" collapsed="false">
      <c r="A9" s="2" t="s">
        <v>155</v>
      </c>
      <c r="B9" s="2" t="s">
        <v>156</v>
      </c>
      <c r="C9" s="2" t="s">
        <v>157</v>
      </c>
      <c r="D9" s="2" t="s">
        <v>9</v>
      </c>
      <c r="E9" s="2" t="s">
        <v>158</v>
      </c>
    </row>
    <row r="10" customFormat="false" ht="15" hidden="false" customHeight="false" outlineLevel="0" collapsed="false">
      <c r="A10" s="2" t="s">
        <v>159</v>
      </c>
      <c r="B10" s="2" t="s">
        <v>160</v>
      </c>
      <c r="C10" s="2" t="s">
        <v>161</v>
      </c>
      <c r="D10" s="2" t="s">
        <v>52</v>
      </c>
      <c r="E10" s="2" t="s">
        <v>162</v>
      </c>
    </row>
    <row r="11" customFormat="false" ht="23.85" hidden="false" customHeight="false" outlineLevel="0" collapsed="false">
      <c r="A11" s="2" t="s">
        <v>163</v>
      </c>
      <c r="B11" s="2" t="s">
        <v>164</v>
      </c>
      <c r="C11" s="2" t="s">
        <v>165</v>
      </c>
      <c r="D11" s="2" t="s">
        <v>9</v>
      </c>
      <c r="E11" s="2" t="s">
        <v>166</v>
      </c>
    </row>
    <row r="12" customFormat="false" ht="15" hidden="false" customHeight="false" outlineLevel="0" collapsed="false">
      <c r="A12" s="2" t="s">
        <v>167</v>
      </c>
      <c r="B12" s="2" t="s">
        <v>168</v>
      </c>
      <c r="C12" s="2" t="s">
        <v>169</v>
      </c>
      <c r="D12" s="2" t="s">
        <v>9</v>
      </c>
      <c r="E12" s="2" t="s">
        <v>154</v>
      </c>
    </row>
    <row r="13" customFormat="false" ht="46.25" hidden="false" customHeight="false" outlineLevel="0" collapsed="false">
      <c r="A13" s="2" t="s">
        <v>170</v>
      </c>
      <c r="B13" s="2" t="s">
        <v>171</v>
      </c>
      <c r="C13" s="2" t="s">
        <v>172</v>
      </c>
      <c r="D13" s="2" t="s">
        <v>52</v>
      </c>
      <c r="E13" s="2" t="s">
        <v>173</v>
      </c>
    </row>
    <row r="14" customFormat="false" ht="23.85" hidden="false" customHeight="false" outlineLevel="0" collapsed="false">
      <c r="A14" s="2" t="s">
        <v>174</v>
      </c>
      <c r="B14" s="2" t="s">
        <v>175</v>
      </c>
      <c r="C14" s="2" t="s">
        <v>176</v>
      </c>
      <c r="D14" s="2" t="s">
        <v>52</v>
      </c>
      <c r="E14" s="2" t="s">
        <v>177</v>
      </c>
    </row>
    <row r="15" customFormat="false" ht="23.85" hidden="false" customHeight="false" outlineLevel="0" collapsed="false">
      <c r="A15" s="2" t="s">
        <v>178</v>
      </c>
      <c r="B15" s="2" t="s">
        <v>179</v>
      </c>
      <c r="C15" s="2" t="s">
        <v>180</v>
      </c>
      <c r="D15" s="2" t="s">
        <v>52</v>
      </c>
      <c r="E15" s="2" t="s">
        <v>181</v>
      </c>
    </row>
    <row r="16" customFormat="false" ht="15" hidden="false" customHeight="false" outlineLevel="0" collapsed="false">
      <c r="A16" s="2" t="s">
        <v>182</v>
      </c>
      <c r="B16" s="2" t="s">
        <v>183</v>
      </c>
      <c r="C16" s="2" t="s">
        <v>184</v>
      </c>
      <c r="D16" s="2" t="s">
        <v>52</v>
      </c>
      <c r="E16" s="2" t="s">
        <v>185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3.8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</row>
    <row r="2" customFormat="false" ht="15" hidden="false" customHeight="false" outlineLevel="0" collapsed="false">
      <c r="A2" s="2" t="s">
        <v>195</v>
      </c>
      <c r="B2" s="7" t="n">
        <f aca="false">x_rate_BA</f>
        <v>4600</v>
      </c>
      <c r="C2" s="7" t="n">
        <f aca="false">x_overhead</f>
        <v>650</v>
      </c>
      <c r="D2" s="7" t="n">
        <f aca="false">x_benefits</f>
        <v>80</v>
      </c>
      <c r="E2" s="7" t="n">
        <f aca="false">IF((B2-C2-D2)/(1+x_esv)&lt;=$B$9,(B2-C2-D2)/(1+x_esv),(B2-C2-D2)-x_esv*$B$9)</f>
        <v>3172.13114754098</v>
      </c>
      <c r="F2" s="7" t="n">
        <f aca="false">x_esv*MIN(E2,$B$9)</f>
        <v>697.868852459017</v>
      </c>
      <c r="G2" s="7" t="n">
        <f aca="false">C2+D2+E2+F2</f>
        <v>4600</v>
      </c>
      <c r="H2" s="8" t="n">
        <f aca="false">E2/B2</f>
        <v>0.689593727726301</v>
      </c>
      <c r="I2" s="9" t="str">
        <f aca="false">IF(ABS(G2-B2)&lt;0.01,"збігається","розбіжність")</f>
        <v>збігається</v>
      </c>
    </row>
    <row r="3" customFormat="false" ht="15" hidden="false" customHeight="false" outlineLevel="0" collapsed="false">
      <c r="A3" s="2" t="s">
        <v>196</v>
      </c>
      <c r="B3" s="7" t="n">
        <f aca="false">x_rate_UX</f>
        <v>4300</v>
      </c>
      <c r="C3" s="7" t="n">
        <f aca="false">x_overhead</f>
        <v>650</v>
      </c>
      <c r="D3" s="7" t="n">
        <f aca="false">x_benefits</f>
        <v>80</v>
      </c>
      <c r="E3" s="7" t="n">
        <f aca="false">IF((B3-C3-D3)/(1+x_esv)&lt;=$B$9,(B3-C3-D3)/(1+x_esv),(B3-C3-D3)-x_esv*$B$9)</f>
        <v>2926.22950819672</v>
      </c>
      <c r="F3" s="7" t="n">
        <f aca="false">x_esv*MIN(E3,$B$9)</f>
        <v>643.770491803279</v>
      </c>
      <c r="G3" s="7" t="n">
        <f aca="false">C3+D3+E3+F3</f>
        <v>4300</v>
      </c>
      <c r="H3" s="8" t="n">
        <f aca="false">E3/B3</f>
        <v>0.680518490278307</v>
      </c>
      <c r="I3" s="9" t="str">
        <f aca="false">IF(ABS(G3-B3)&lt;0.01,"збігається","розбіжність")</f>
        <v>збігається</v>
      </c>
    </row>
    <row r="4" customFormat="false" ht="15" hidden="false" customHeight="false" outlineLevel="0" collapsed="false">
      <c r="A4" s="2" t="s">
        <v>197</v>
      </c>
      <c r="B4" s="7" t="n">
        <f aca="false">x_rate_DEV</f>
        <v>5700</v>
      </c>
      <c r="C4" s="7" t="n">
        <f aca="false">x_overhead</f>
        <v>650</v>
      </c>
      <c r="D4" s="7" t="n">
        <f aca="false">x_benefits</f>
        <v>80</v>
      </c>
      <c r="E4" s="7" t="n">
        <f aca="false">IF((B4-C4-D4)/(1+x_esv)&lt;=$B$9,(B4-C4-D4)/(1+x_esv),(B4-C4-D4)-x_esv*$B$9)</f>
        <v>4177.35833333333</v>
      </c>
      <c r="F4" s="7" t="n">
        <f aca="false">x_esv*MIN(E4,$B$9)</f>
        <v>792.641666666667</v>
      </c>
      <c r="G4" s="7" t="n">
        <f aca="false">C4+D4+E4+F4</f>
        <v>5700</v>
      </c>
      <c r="H4" s="8" t="n">
        <f aca="false">E4/B4</f>
        <v>0.732869883040936</v>
      </c>
      <c r="I4" s="9" t="str">
        <f aca="false">IF(ABS(G4-B4)&lt;0.01,"збігається","розбіжність")</f>
        <v>збігається</v>
      </c>
    </row>
    <row r="5" customFormat="false" ht="15" hidden="false" customHeight="false" outlineLevel="0" collapsed="false">
      <c r="A5" s="2" t="s">
        <v>198</v>
      </c>
      <c r="B5" s="7" t="n">
        <f aca="false">x_rate_QA</f>
        <v>4200</v>
      </c>
      <c r="C5" s="7" t="n">
        <f aca="false">x_overhead</f>
        <v>650</v>
      </c>
      <c r="D5" s="7" t="n">
        <f aca="false">x_benefits</f>
        <v>80</v>
      </c>
      <c r="E5" s="7" t="n">
        <f aca="false">IF((B5-C5-D5)/(1+x_esv)&lt;=$B$9,(B5-C5-D5)/(1+x_esv),(B5-C5-D5)-x_esv*$B$9)</f>
        <v>2844.26229508197</v>
      </c>
      <c r="F5" s="7" t="n">
        <f aca="false">x_esv*MIN(E5,$B$9)</f>
        <v>625.737704918033</v>
      </c>
      <c r="G5" s="7" t="n">
        <f aca="false">C5+D5+E5+F5</f>
        <v>4200</v>
      </c>
      <c r="H5" s="8" t="n">
        <f aca="false">E5/B5</f>
        <v>0.677205308352849</v>
      </c>
      <c r="I5" s="9" t="str">
        <f aca="false">IF(ABS(G5-B5)&lt;0.01,"збігається","розбіжність")</f>
        <v>збігається</v>
      </c>
    </row>
    <row r="6" customFormat="false" ht="15" hidden="false" customHeight="false" outlineLevel="0" collapsed="false">
      <c r="A6" s="2" t="s">
        <v>199</v>
      </c>
      <c r="B6" s="7" t="n">
        <f aca="false">x_rate_OPS</f>
        <v>6100</v>
      </c>
      <c r="C6" s="7" t="n">
        <f aca="false">x_overhead</f>
        <v>650</v>
      </c>
      <c r="D6" s="7" t="n">
        <f aca="false">x_benefits</f>
        <v>80</v>
      </c>
      <c r="E6" s="7" t="n">
        <f aca="false">IF((B6-C6-D6)/(1+x_esv)&lt;=$B$9,(B6-C6-D6)/(1+x_esv),(B6-C6-D6)-x_esv*$B$9)</f>
        <v>4577.35833333333</v>
      </c>
      <c r="F6" s="7" t="n">
        <f aca="false">x_esv*MIN(E6,$B$9)</f>
        <v>792.641666666667</v>
      </c>
      <c r="G6" s="7" t="n">
        <f aca="false">C6+D6+E6+F6</f>
        <v>6100</v>
      </c>
      <c r="H6" s="8" t="n">
        <f aca="false">E6/B6</f>
        <v>0.750386612021858</v>
      </c>
      <c r="I6" s="9" t="str">
        <f aca="false">IF(ABS(G6-B6)&lt;0.01,"збігається","розбіжність")</f>
        <v>збігається</v>
      </c>
    </row>
    <row r="8" customFormat="false" ht="15" hidden="false" customHeight="false" outlineLevel="0" collapsed="false">
      <c r="A8" s="1" t="s">
        <v>1</v>
      </c>
      <c r="B8" s="1" t="s">
        <v>2</v>
      </c>
    </row>
    <row r="9" customFormat="false" ht="15" hidden="false" customHeight="false" outlineLevel="0" collapsed="false">
      <c r="A9" s="2" t="s">
        <v>200</v>
      </c>
      <c r="B9" s="7" t="n">
        <f aca="false">x_min_wage*x_cap_mult/x_fx</f>
        <v>3602.91666666667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</row>
    <row r="2" customFormat="false" ht="15" hidden="false" customHeight="false" outlineLevel="0" collapsed="false">
      <c r="A2" s="2" t="s">
        <v>206</v>
      </c>
      <c r="B2" s="10" t="n">
        <f aca="false">0</f>
        <v>0</v>
      </c>
      <c r="C2" s="10" t="n">
        <f aca="false">x_ef11</f>
        <v>8.33333333333333</v>
      </c>
      <c r="D2" s="10" t="n">
        <f aca="false">C2-B2</f>
        <v>8.33333333333333</v>
      </c>
      <c r="E2" s="5" t="n">
        <f aca="false">SUM(G9:G20)</f>
        <v>0.396825396825397</v>
      </c>
    </row>
    <row r="3" customFormat="false" ht="15" hidden="false" customHeight="false" outlineLevel="0" collapsed="false">
      <c r="A3" s="2" t="s">
        <v>207</v>
      </c>
      <c r="B3" s="10" t="n">
        <f aca="false">x_ef11</f>
        <v>8.33333333333333</v>
      </c>
      <c r="C3" s="10" t="n">
        <f aca="false">x_ef12</f>
        <v>21.6666666666667</v>
      </c>
      <c r="D3" s="10" t="n">
        <f aca="false">C3-B3</f>
        <v>13.3333333333333</v>
      </c>
      <c r="E3" s="5" t="n">
        <f aca="false">SUM(H9:H20)</f>
        <v>0.633477633477634</v>
      </c>
    </row>
    <row r="4" customFormat="false" ht="15" hidden="false" customHeight="false" outlineLevel="0" collapsed="false">
      <c r="A4" s="2" t="s">
        <v>208</v>
      </c>
      <c r="B4" s="10" t="n">
        <f aca="false">x_ef12</f>
        <v>21.6666666666667</v>
      </c>
      <c r="C4" s="10" t="n">
        <f aca="false">x_fc</f>
        <v>98.1666666666667</v>
      </c>
      <c r="D4" s="10" t="n">
        <f aca="false">C4-B4</f>
        <v>76.5</v>
      </c>
      <c r="E4" s="5" t="n">
        <f aca="false">SUM(I9:I20)</f>
        <v>3.62911725955204</v>
      </c>
    </row>
    <row r="5" customFormat="false" ht="15" hidden="false" customHeight="false" outlineLevel="0" collapsed="false">
      <c r="A5" s="2" t="s">
        <v>209</v>
      </c>
      <c r="B5" s="10" t="n">
        <f aca="false">x_fc</f>
        <v>98.1666666666667</v>
      </c>
      <c r="C5" s="10" t="n">
        <f aca="false">x_bl_days</f>
        <v>132</v>
      </c>
      <c r="D5" s="10" t="n">
        <f aca="false">C5-B5</f>
        <v>33.8333333333333</v>
      </c>
      <c r="E5" s="5" t="n">
        <f aca="false">SUM(J9:J20)</f>
        <v>1.53105590062112</v>
      </c>
    </row>
    <row r="6" customFormat="false" ht="15" hidden="false" customHeight="false" outlineLevel="0" collapsed="false">
      <c r="A6" s="2" t="s">
        <v>210</v>
      </c>
      <c r="B6" s="2"/>
      <c r="C6" s="2"/>
      <c r="D6" s="10" t="n">
        <f aca="false">SUM(D2:D5)</f>
        <v>132</v>
      </c>
      <c r="E6" s="5" t="n">
        <f aca="false">SUM(E2:E5)</f>
        <v>6.19047619047619</v>
      </c>
    </row>
    <row r="8" customFormat="false" ht="23.85" hidden="false" customHeight="false" outlineLevel="0" collapsed="false">
      <c r="A8" s="1" t="s">
        <v>211</v>
      </c>
      <c r="B8" s="1" t="s">
        <v>212</v>
      </c>
      <c r="C8" s="1" t="s">
        <v>213</v>
      </c>
      <c r="D8" s="1" t="s">
        <v>214</v>
      </c>
      <c r="E8" s="1" t="s">
        <v>215</v>
      </c>
      <c r="F8" s="1" t="s">
        <v>216</v>
      </c>
      <c r="G8" s="1" t="s">
        <v>217</v>
      </c>
      <c r="H8" s="1" t="s">
        <v>218</v>
      </c>
      <c r="I8" s="1" t="s">
        <v>219</v>
      </c>
      <c r="J8" s="1" t="s">
        <v>220</v>
      </c>
      <c r="K8" s="1" t="s">
        <v>221</v>
      </c>
    </row>
    <row r="9" customFormat="false" ht="15" hidden="false" customHeight="false" outlineLevel="0" collapsed="false">
      <c r="A9" s="2" t="s">
        <v>222</v>
      </c>
      <c r="B9" s="11" t="n">
        <f aca="false">EDATE(DATE(2026,11,1),0)</f>
        <v>46327</v>
      </c>
      <c r="C9" s="11" t="n">
        <f aca="false">EOMONTH(B9,0)</f>
        <v>46356</v>
      </c>
      <c r="D9" s="9" t="n">
        <f aca="false">NETWORKDAYS(MAX(B9,x_start),C9,x_holidays)</f>
        <v>21</v>
      </c>
      <c r="E9" s="9" t="n">
        <v>0</v>
      </c>
      <c r="F9" s="9" t="n">
        <f aca="false">E9+D9</f>
        <v>21</v>
      </c>
      <c r="G9" s="5" t="n">
        <f aca="false">MAX(0,MIN(x_pe_A,F9)-MAX(x_ps_A,E9))/D9</f>
        <v>0.396825396825397</v>
      </c>
      <c r="H9" s="5" t="n">
        <f aca="false">MAX(0,MIN(x_pe_D,F9)-MAX(x_ps_D,E9))/D9</f>
        <v>0.603174603174603</v>
      </c>
      <c r="I9" s="5" t="n">
        <f aca="false">MAX(0,MIN(x_pe_B,F9)-MAX(x_ps_B,E9))/D9</f>
        <v>0</v>
      </c>
      <c r="J9" s="5" t="n">
        <f aca="false">MAX(0,MIN(x_pe_T,F9)-MAX(x_ps_T,E9))/D9</f>
        <v>0</v>
      </c>
      <c r="K9" s="5" t="n">
        <f aca="false">IF(F9&lt;=x_bl_days,0,IF(E9&gt;=x_bl_days,1,(F9-x_bl_days)/D9))</f>
        <v>0</v>
      </c>
    </row>
    <row r="10" customFormat="false" ht="15" hidden="false" customHeight="false" outlineLevel="0" collapsed="false">
      <c r="A10" s="2" t="s">
        <v>223</v>
      </c>
      <c r="B10" s="11" t="n">
        <f aca="false">EDATE(DATE(2026,11,1),1)</f>
        <v>46357</v>
      </c>
      <c r="C10" s="11" t="n">
        <f aca="false">EOMONTH(B10,0)</f>
        <v>46387</v>
      </c>
      <c r="D10" s="9" t="n">
        <f aca="false">NETWORKDAYS(MAX(B10,x_start),C10,x_holidays)</f>
        <v>22</v>
      </c>
      <c r="E10" s="9" t="n">
        <f aca="false">F9</f>
        <v>21</v>
      </c>
      <c r="F10" s="9" t="n">
        <f aca="false">E10+D10</f>
        <v>43</v>
      </c>
      <c r="G10" s="5" t="n">
        <f aca="false">MAX(0,MIN(x_pe_A,F10)-MAX(x_ps_A,E10))/D10</f>
        <v>0</v>
      </c>
      <c r="H10" s="5" t="n">
        <f aca="false">MAX(0,MIN(x_pe_D,F10)-MAX(x_ps_D,E10))/D10</f>
        <v>0.0303030303030305</v>
      </c>
      <c r="I10" s="5" t="n">
        <f aca="false">MAX(0,MIN(x_pe_B,F10)-MAX(x_ps_B,E10))/D10</f>
        <v>0.96969696969697</v>
      </c>
      <c r="J10" s="5" t="n">
        <f aca="false">MAX(0,MIN(x_pe_T,F10)-MAX(x_ps_T,E10))/D10</f>
        <v>0</v>
      </c>
      <c r="K10" s="5" t="n">
        <f aca="false">IF(F10&lt;=x_bl_days,0,IF(E10&gt;=x_bl_days,1,(F10-x_bl_days)/D10))</f>
        <v>0</v>
      </c>
    </row>
    <row r="11" customFormat="false" ht="15" hidden="false" customHeight="false" outlineLevel="0" collapsed="false">
      <c r="A11" s="2" t="s">
        <v>224</v>
      </c>
      <c r="B11" s="11" t="n">
        <f aca="false">EDATE(DATE(2026,11,1),2)</f>
        <v>46388</v>
      </c>
      <c r="C11" s="11" t="n">
        <f aca="false">EOMONTH(B11,0)</f>
        <v>46418</v>
      </c>
      <c r="D11" s="9" t="n">
        <f aca="false">NETWORKDAYS(MAX(B11,x_start),C11,x_holidays)</f>
        <v>20</v>
      </c>
      <c r="E11" s="9" t="n">
        <f aca="false">F10</f>
        <v>43</v>
      </c>
      <c r="F11" s="9" t="n">
        <f aca="false">E11+D11</f>
        <v>63</v>
      </c>
      <c r="G11" s="5" t="n">
        <f aca="false">MAX(0,MIN(x_pe_A,F11)-MAX(x_ps_A,E11))/D11</f>
        <v>0</v>
      </c>
      <c r="H11" s="5" t="n">
        <f aca="false">MAX(0,MIN(x_pe_D,F11)-MAX(x_ps_D,E11))/D11</f>
        <v>0</v>
      </c>
      <c r="I11" s="5" t="n">
        <f aca="false">MAX(0,MIN(x_pe_B,F11)-MAX(x_ps_B,E11))/D11</f>
        <v>1</v>
      </c>
      <c r="J11" s="5" t="n">
        <f aca="false">MAX(0,MIN(x_pe_T,F11)-MAX(x_ps_T,E11))/D11</f>
        <v>0</v>
      </c>
      <c r="K11" s="5" t="n">
        <f aca="false">IF(F11&lt;=x_bl_days,0,IF(E11&gt;=x_bl_days,1,(F11-x_bl_days)/D11))</f>
        <v>0</v>
      </c>
    </row>
    <row r="12" customFormat="false" ht="15" hidden="false" customHeight="false" outlineLevel="0" collapsed="false">
      <c r="A12" s="2" t="s">
        <v>225</v>
      </c>
      <c r="B12" s="11" t="n">
        <f aca="false">EDATE(DATE(2026,11,1),3)</f>
        <v>46419</v>
      </c>
      <c r="C12" s="11" t="n">
        <f aca="false">EOMONTH(B12,0)</f>
        <v>46446</v>
      </c>
      <c r="D12" s="9" t="n">
        <f aca="false">NETWORKDAYS(MAX(B12,x_start),C12,x_holidays)</f>
        <v>20</v>
      </c>
      <c r="E12" s="9" t="n">
        <f aca="false">F11</f>
        <v>63</v>
      </c>
      <c r="F12" s="9" t="n">
        <f aca="false">E12+D12</f>
        <v>83</v>
      </c>
      <c r="G12" s="5" t="n">
        <f aca="false">MAX(0,MIN(x_pe_A,F12)-MAX(x_ps_A,E12))/D12</f>
        <v>0</v>
      </c>
      <c r="H12" s="5" t="n">
        <f aca="false">MAX(0,MIN(x_pe_D,F12)-MAX(x_ps_D,E12))/D12</f>
        <v>0</v>
      </c>
      <c r="I12" s="5" t="n">
        <f aca="false">MAX(0,MIN(x_pe_B,F12)-MAX(x_ps_B,E12))/D12</f>
        <v>1</v>
      </c>
      <c r="J12" s="5" t="n">
        <f aca="false">MAX(0,MIN(x_pe_T,F12)-MAX(x_ps_T,E12))/D12</f>
        <v>0</v>
      </c>
      <c r="K12" s="5" t="n">
        <f aca="false">IF(F12&lt;=x_bl_days,0,IF(E12&gt;=x_bl_days,1,(F12-x_bl_days)/D12))</f>
        <v>0</v>
      </c>
    </row>
    <row r="13" customFormat="false" ht="15" hidden="false" customHeight="false" outlineLevel="0" collapsed="false">
      <c r="A13" s="2" t="s">
        <v>226</v>
      </c>
      <c r="B13" s="11" t="n">
        <f aca="false">EDATE(DATE(2026,11,1),4)</f>
        <v>46447</v>
      </c>
      <c r="C13" s="11" t="n">
        <f aca="false">EOMONTH(B13,0)</f>
        <v>46477</v>
      </c>
      <c r="D13" s="9" t="n">
        <f aca="false">NETWORKDAYS(MAX(B13,x_start),C13,x_holidays)</f>
        <v>23</v>
      </c>
      <c r="E13" s="9" t="n">
        <f aca="false">F12</f>
        <v>83</v>
      </c>
      <c r="F13" s="9" t="n">
        <f aca="false">E13+D13</f>
        <v>106</v>
      </c>
      <c r="G13" s="5" t="n">
        <f aca="false">MAX(0,MIN(x_pe_A,F13)-MAX(x_ps_A,E13))/D13</f>
        <v>0</v>
      </c>
      <c r="H13" s="5" t="n">
        <f aca="false">MAX(0,MIN(x_pe_D,F13)-MAX(x_ps_D,E13))/D13</f>
        <v>0</v>
      </c>
      <c r="I13" s="5" t="n">
        <f aca="false">MAX(0,MIN(x_pe_B,F13)-MAX(x_ps_B,E13))/D13</f>
        <v>0.659420289855072</v>
      </c>
      <c r="J13" s="5" t="n">
        <f aca="false">MAX(0,MIN(x_pe_T,F13)-MAX(x_ps_T,E13))/D13</f>
        <v>0.340579710144928</v>
      </c>
      <c r="K13" s="5" t="n">
        <f aca="false">IF(F13&lt;=x_bl_days,0,IF(E13&gt;=x_bl_days,1,(F13-x_bl_days)/D13))</f>
        <v>0</v>
      </c>
    </row>
    <row r="14" customFormat="false" ht="15" hidden="false" customHeight="false" outlineLevel="0" collapsed="false">
      <c r="A14" s="2" t="s">
        <v>227</v>
      </c>
      <c r="B14" s="11" t="n">
        <f aca="false">EDATE(DATE(2026,11,1),5)</f>
        <v>46478</v>
      </c>
      <c r="C14" s="11" t="n">
        <f aca="false">EOMONTH(B14,0)</f>
        <v>46507</v>
      </c>
      <c r="D14" s="9" t="n">
        <f aca="false">NETWORKDAYS(MAX(B14,x_start),C14,x_holidays)</f>
        <v>22</v>
      </c>
      <c r="E14" s="9" t="n">
        <f aca="false">F13</f>
        <v>106</v>
      </c>
      <c r="F14" s="9" t="n">
        <f aca="false">E14+D14</f>
        <v>128</v>
      </c>
      <c r="G14" s="5" t="n">
        <f aca="false">MAX(0,MIN(x_pe_A,F14)-MAX(x_ps_A,E14))/D14</f>
        <v>0</v>
      </c>
      <c r="H14" s="5" t="n">
        <f aca="false">MAX(0,MIN(x_pe_D,F14)-MAX(x_ps_D,E14))/D14</f>
        <v>0</v>
      </c>
      <c r="I14" s="5" t="n">
        <f aca="false">MAX(0,MIN(x_pe_B,F14)-MAX(x_ps_B,E14))/D14</f>
        <v>0</v>
      </c>
      <c r="J14" s="5" t="n">
        <f aca="false">MAX(0,MIN(x_pe_T,F14)-MAX(x_ps_T,E14))/D14</f>
        <v>1</v>
      </c>
      <c r="K14" s="5" t="n">
        <f aca="false">IF(F14&lt;=x_bl_days,0,IF(E14&gt;=x_bl_days,1,(F14-x_bl_days)/D14))</f>
        <v>0</v>
      </c>
    </row>
    <row r="15" customFormat="false" ht="15" hidden="false" customHeight="false" outlineLevel="0" collapsed="false">
      <c r="A15" s="2" t="s">
        <v>228</v>
      </c>
      <c r="B15" s="11" t="n">
        <f aca="false">EDATE(DATE(2026,11,1),6)</f>
        <v>46508</v>
      </c>
      <c r="C15" s="11" t="n">
        <f aca="false">EOMONTH(B15,0)</f>
        <v>46538</v>
      </c>
      <c r="D15" s="9" t="n">
        <f aca="false">NETWORKDAYS(MAX(B15,x_start),C15,x_holidays)</f>
        <v>21</v>
      </c>
      <c r="E15" s="9" t="n">
        <f aca="false">F14</f>
        <v>128</v>
      </c>
      <c r="F15" s="9" t="n">
        <f aca="false">E15+D15</f>
        <v>149</v>
      </c>
      <c r="G15" s="5" t="n">
        <f aca="false">MAX(0,MIN(x_pe_A,F15)-MAX(x_ps_A,E15))/D15</f>
        <v>0</v>
      </c>
      <c r="H15" s="5" t="n">
        <f aca="false">MAX(0,MIN(x_pe_D,F15)-MAX(x_ps_D,E15))/D15</f>
        <v>0</v>
      </c>
      <c r="I15" s="5" t="n">
        <f aca="false">MAX(0,MIN(x_pe_B,F15)-MAX(x_ps_B,E15))/D15</f>
        <v>0</v>
      </c>
      <c r="J15" s="5" t="n">
        <f aca="false">MAX(0,MIN(x_pe_T,F15)-MAX(x_ps_T,E15))/D15</f>
        <v>0.19047619047619</v>
      </c>
      <c r="K15" s="5" t="n">
        <f aca="false">IF(F15&lt;=x_bl_days,0,IF(E15&gt;=x_bl_days,1,(F15-x_bl_days)/D15))</f>
        <v>0.80952380952381</v>
      </c>
    </row>
    <row r="16" customFormat="false" ht="15" hidden="false" customHeight="false" outlineLevel="0" collapsed="false">
      <c r="A16" s="2" t="s">
        <v>229</v>
      </c>
      <c r="B16" s="11" t="n">
        <f aca="false">EDATE(DATE(2026,11,1),7)</f>
        <v>46539</v>
      </c>
      <c r="C16" s="11" t="n">
        <f aca="false">EOMONTH(B16,0)</f>
        <v>46568</v>
      </c>
      <c r="D16" s="9" t="n">
        <f aca="false">NETWORKDAYS(MAX(B16,x_start),C16,x_holidays)</f>
        <v>22</v>
      </c>
      <c r="E16" s="9" t="n">
        <f aca="false">F15</f>
        <v>149</v>
      </c>
      <c r="F16" s="9" t="n">
        <f aca="false">E16+D16</f>
        <v>171</v>
      </c>
      <c r="G16" s="5" t="n">
        <f aca="false">MAX(0,MIN(x_pe_A,F16)-MAX(x_ps_A,E16))/D16</f>
        <v>0</v>
      </c>
      <c r="H16" s="5" t="n">
        <f aca="false">MAX(0,MIN(x_pe_D,F16)-MAX(x_ps_D,E16))/D16</f>
        <v>0</v>
      </c>
      <c r="I16" s="5" t="n">
        <f aca="false">MAX(0,MIN(x_pe_B,F16)-MAX(x_ps_B,E16))/D16</f>
        <v>0</v>
      </c>
      <c r="J16" s="5" t="n">
        <f aca="false">MAX(0,MIN(x_pe_T,F16)-MAX(x_ps_T,E16))/D16</f>
        <v>0</v>
      </c>
      <c r="K16" s="5" t="n">
        <f aca="false">IF(F16&lt;=x_bl_days,0,IF(E16&gt;=x_bl_days,1,(F16-x_bl_days)/D16))</f>
        <v>1</v>
      </c>
    </row>
    <row r="17" customFormat="false" ht="15" hidden="false" customHeight="false" outlineLevel="0" collapsed="false">
      <c r="A17" s="2" t="s">
        <v>230</v>
      </c>
      <c r="B17" s="11" t="n">
        <f aca="false">EDATE(DATE(2026,11,1),8)</f>
        <v>46569</v>
      </c>
      <c r="C17" s="11" t="n">
        <f aca="false">EOMONTH(B17,0)</f>
        <v>46599</v>
      </c>
      <c r="D17" s="9" t="n">
        <f aca="false">NETWORKDAYS(MAX(B17,x_start),C17,x_holidays)</f>
        <v>22</v>
      </c>
      <c r="E17" s="9" t="n">
        <f aca="false">F16</f>
        <v>171</v>
      </c>
      <c r="F17" s="9" t="n">
        <f aca="false">E17+D17</f>
        <v>193</v>
      </c>
      <c r="G17" s="5" t="n">
        <f aca="false">MAX(0,MIN(x_pe_A,F17)-MAX(x_ps_A,E17))/D17</f>
        <v>0</v>
      </c>
      <c r="H17" s="5" t="n">
        <f aca="false">MAX(0,MIN(x_pe_D,F17)-MAX(x_ps_D,E17))/D17</f>
        <v>0</v>
      </c>
      <c r="I17" s="5" t="n">
        <f aca="false">MAX(0,MIN(x_pe_B,F17)-MAX(x_ps_B,E17))/D17</f>
        <v>0</v>
      </c>
      <c r="J17" s="5" t="n">
        <f aca="false">MAX(0,MIN(x_pe_T,F17)-MAX(x_ps_T,E17))/D17</f>
        <v>0</v>
      </c>
      <c r="K17" s="5" t="n">
        <f aca="false">IF(F17&lt;=x_bl_days,0,IF(E17&gt;=x_bl_days,1,(F17-x_bl_days)/D17))</f>
        <v>1</v>
      </c>
    </row>
    <row r="18" customFormat="false" ht="15" hidden="false" customHeight="false" outlineLevel="0" collapsed="false">
      <c r="A18" s="2" t="s">
        <v>231</v>
      </c>
      <c r="B18" s="11" t="n">
        <f aca="false">EDATE(DATE(2026,11,1),9)</f>
        <v>46600</v>
      </c>
      <c r="C18" s="11" t="n">
        <f aca="false">EOMONTH(B18,0)</f>
        <v>46630</v>
      </c>
      <c r="D18" s="9" t="n">
        <f aca="false">NETWORKDAYS(MAX(B18,x_start),C18,x_holidays)</f>
        <v>22</v>
      </c>
      <c r="E18" s="9" t="n">
        <f aca="false">F17</f>
        <v>193</v>
      </c>
      <c r="F18" s="9" t="n">
        <f aca="false">E18+D18</f>
        <v>215</v>
      </c>
      <c r="G18" s="5" t="n">
        <f aca="false">MAX(0,MIN(x_pe_A,F18)-MAX(x_ps_A,E18))/D18</f>
        <v>0</v>
      </c>
      <c r="H18" s="5" t="n">
        <f aca="false">MAX(0,MIN(x_pe_D,F18)-MAX(x_ps_D,E18))/D18</f>
        <v>0</v>
      </c>
      <c r="I18" s="5" t="n">
        <f aca="false">MAX(0,MIN(x_pe_B,F18)-MAX(x_ps_B,E18))/D18</f>
        <v>0</v>
      </c>
      <c r="J18" s="5" t="n">
        <f aca="false">MAX(0,MIN(x_pe_T,F18)-MAX(x_ps_T,E18))/D18</f>
        <v>0</v>
      </c>
      <c r="K18" s="5" t="n">
        <f aca="false">IF(F18&lt;=x_bl_days,0,IF(E18&gt;=x_bl_days,1,(F18-x_bl_days)/D18))</f>
        <v>1</v>
      </c>
    </row>
    <row r="19" customFormat="false" ht="15" hidden="false" customHeight="false" outlineLevel="0" collapsed="false">
      <c r="A19" s="2" t="s">
        <v>232</v>
      </c>
      <c r="B19" s="11" t="n">
        <f aca="false">EDATE(DATE(2026,11,1),10)</f>
        <v>46631</v>
      </c>
      <c r="C19" s="11" t="n">
        <f aca="false">EOMONTH(B19,0)</f>
        <v>46660</v>
      </c>
      <c r="D19" s="9" t="n">
        <f aca="false">NETWORKDAYS(MAX(B19,x_start),C19,x_holidays)</f>
        <v>22</v>
      </c>
      <c r="E19" s="9" t="n">
        <f aca="false">F18</f>
        <v>215</v>
      </c>
      <c r="F19" s="9" t="n">
        <f aca="false">E19+D19</f>
        <v>237</v>
      </c>
      <c r="G19" s="5" t="n">
        <f aca="false">MAX(0,MIN(x_pe_A,F19)-MAX(x_ps_A,E19))/D19</f>
        <v>0</v>
      </c>
      <c r="H19" s="5" t="n">
        <f aca="false">MAX(0,MIN(x_pe_D,F19)-MAX(x_ps_D,E19))/D19</f>
        <v>0</v>
      </c>
      <c r="I19" s="5" t="n">
        <f aca="false">MAX(0,MIN(x_pe_B,F19)-MAX(x_ps_B,E19))/D19</f>
        <v>0</v>
      </c>
      <c r="J19" s="5" t="n">
        <f aca="false">MAX(0,MIN(x_pe_T,F19)-MAX(x_ps_T,E19))/D19</f>
        <v>0</v>
      </c>
      <c r="K19" s="5" t="n">
        <f aca="false">IF(F19&lt;=x_bl_days,0,IF(E19&gt;=x_bl_days,1,(F19-x_bl_days)/D19))</f>
        <v>1</v>
      </c>
    </row>
    <row r="20" customFormat="false" ht="15" hidden="false" customHeight="false" outlineLevel="0" collapsed="false">
      <c r="A20" s="2" t="s">
        <v>233</v>
      </c>
      <c r="B20" s="11" t="n">
        <f aca="false">EDATE(DATE(2026,11,1),11)</f>
        <v>46661</v>
      </c>
      <c r="C20" s="11" t="n">
        <f aca="false">EOMONTH(B20,0)</f>
        <v>46691</v>
      </c>
      <c r="D20" s="9" t="n">
        <f aca="false">NETWORKDAYS(MAX(B20,x_start),C20,x_holidays)</f>
        <v>21</v>
      </c>
      <c r="E20" s="9" t="n">
        <f aca="false">F19</f>
        <v>237</v>
      </c>
      <c r="F20" s="9" t="n">
        <f aca="false">E20+D20</f>
        <v>258</v>
      </c>
      <c r="G20" s="5" t="n">
        <f aca="false">MAX(0,MIN(x_pe_A,F20)-MAX(x_ps_A,E20))/D20</f>
        <v>0</v>
      </c>
      <c r="H20" s="5" t="n">
        <f aca="false">MAX(0,MIN(x_pe_D,F20)-MAX(x_ps_D,E20))/D20</f>
        <v>0</v>
      </c>
      <c r="I20" s="5" t="n">
        <f aca="false">MAX(0,MIN(x_pe_B,F20)-MAX(x_ps_B,E20))/D20</f>
        <v>0</v>
      </c>
      <c r="J20" s="5" t="n">
        <f aca="false">MAX(0,MIN(x_pe_T,F20)-MAX(x_ps_T,E20))/D20</f>
        <v>0</v>
      </c>
      <c r="K20" s="5" t="n">
        <f aca="false">IF(F20&lt;=x_bl_days,0,IF(E20&gt;=x_bl_days,1,(F20-x_bl_days)/D20))</f>
        <v>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23.85" hidden="false" customHeight="false" outlineLevel="0" collapsed="false">
      <c r="A1" s="1" t="s">
        <v>186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 customFormat="false" ht="15" hidden="false" customHeight="false" outlineLevel="0" collapsed="false">
      <c r="A2" s="2" t="s">
        <v>195</v>
      </c>
      <c r="B2" s="12" t="n">
        <f aca="false">x_rate_BA</f>
        <v>4600</v>
      </c>
      <c r="C2" s="13" t="n">
        <v>0.5</v>
      </c>
      <c r="D2" s="13" t="n">
        <v>0.25</v>
      </c>
      <c r="E2" s="13" t="n">
        <v>0.5</v>
      </c>
      <c r="F2" s="13" t="n">
        <v>0.5</v>
      </c>
      <c r="G2" s="14" t="n">
        <f aca="false">C2*x_pm_A</f>
        <v>0.198412698412698</v>
      </c>
      <c r="H2" s="14" t="n">
        <f aca="false">D2*x_pm_D</f>
        <v>0.158369408369408</v>
      </c>
      <c r="I2" s="14" t="n">
        <f aca="false">E2*x_pm_B</f>
        <v>1.81455862977602</v>
      </c>
      <c r="J2" s="14" t="n">
        <f aca="false">F2*x_pm_T</f>
        <v>0.765527950310559</v>
      </c>
      <c r="K2" s="14" t="n">
        <f aca="false">SUM(G2:J2)</f>
        <v>2.93686868686869</v>
      </c>
      <c r="L2" s="7" t="n">
        <f aca="false">B2*K2</f>
        <v>13509.595959596</v>
      </c>
      <c r="M2" s="9" t="n">
        <v>0.5</v>
      </c>
    </row>
    <row r="3" customFormat="false" ht="15" hidden="false" customHeight="false" outlineLevel="0" collapsed="false">
      <c r="A3" s="2" t="s">
        <v>196</v>
      </c>
      <c r="B3" s="12" t="n">
        <f aca="false">x_rate_UX</f>
        <v>4300</v>
      </c>
      <c r="C3" s="13" t="n">
        <v>0</v>
      </c>
      <c r="D3" s="13" t="n">
        <v>0</v>
      </c>
      <c r="E3" s="13" t="n">
        <v>0</v>
      </c>
      <c r="F3" s="13" t="n">
        <v>0</v>
      </c>
      <c r="G3" s="14" t="n">
        <f aca="false">C3*x_pm_A</f>
        <v>0</v>
      </c>
      <c r="H3" s="14" t="n">
        <f aca="false">D3*x_pm_D</f>
        <v>0</v>
      </c>
      <c r="I3" s="14" t="n">
        <f aca="false">E3*x_pm_B</f>
        <v>0</v>
      </c>
      <c r="J3" s="14" t="n">
        <f aca="false">F3*x_pm_T</f>
        <v>0</v>
      </c>
      <c r="K3" s="14" t="n">
        <f aca="false">SUM(G3:J3)</f>
        <v>0</v>
      </c>
      <c r="L3" s="7" t="n">
        <f aca="false">B3*K3</f>
        <v>0</v>
      </c>
      <c r="M3" s="9" t="n">
        <v>0</v>
      </c>
    </row>
    <row r="4" customFormat="false" ht="15" hidden="false" customHeight="false" outlineLevel="0" collapsed="false">
      <c r="A4" s="2" t="s">
        <v>246</v>
      </c>
      <c r="B4" s="12" t="n">
        <f aca="false">x_rate_DEV</f>
        <v>5700</v>
      </c>
      <c r="C4" s="13" t="n">
        <v>2</v>
      </c>
      <c r="D4" s="13" t="n">
        <v>2</v>
      </c>
      <c r="E4" s="13" t="n">
        <v>2</v>
      </c>
      <c r="F4" s="13" t="n">
        <v>2</v>
      </c>
      <c r="G4" s="14" t="n">
        <f aca="false">C4*x_pm_A</f>
        <v>0.793650793650794</v>
      </c>
      <c r="H4" s="14" t="n">
        <f aca="false">D4*x_pm_D</f>
        <v>1.26695526695527</v>
      </c>
      <c r="I4" s="14" t="n">
        <f aca="false">E4*x_pm_B</f>
        <v>7.25823451910408</v>
      </c>
      <c r="J4" s="14" t="n">
        <f aca="false">F4*x_pm_T</f>
        <v>3.06211180124224</v>
      </c>
      <c r="K4" s="14" t="n">
        <f aca="false">SUM(G4:J4)</f>
        <v>12.3809523809524</v>
      </c>
      <c r="L4" s="7" t="n">
        <f aca="false">B4*K4</f>
        <v>70571.4285714286</v>
      </c>
      <c r="M4" s="9" t="n">
        <v>2</v>
      </c>
    </row>
    <row r="5" customFormat="false" ht="15" hidden="false" customHeight="false" outlineLevel="0" collapsed="false">
      <c r="A5" s="2" t="s">
        <v>198</v>
      </c>
      <c r="B5" s="12" t="n">
        <f aca="false">x_rate_QA</f>
        <v>4200</v>
      </c>
      <c r="C5" s="13" t="n">
        <v>0.25</v>
      </c>
      <c r="D5" s="13" t="n">
        <v>0.5</v>
      </c>
      <c r="E5" s="13" t="n">
        <v>0.75</v>
      </c>
      <c r="F5" s="13" t="n">
        <v>0.75</v>
      </c>
      <c r="G5" s="14" t="n">
        <f aca="false">C5*x_pm_A</f>
        <v>0.0992063492063492</v>
      </c>
      <c r="H5" s="14" t="n">
        <f aca="false">D5*x_pm_D</f>
        <v>0.316738816738817</v>
      </c>
      <c r="I5" s="14" t="n">
        <f aca="false">E5*x_pm_B</f>
        <v>2.72183794466403</v>
      </c>
      <c r="J5" s="14" t="n">
        <f aca="false">F5*x_pm_T</f>
        <v>1.14829192546584</v>
      </c>
      <c r="K5" s="14" t="n">
        <f aca="false">SUM(G5:J5)</f>
        <v>4.28607503607504</v>
      </c>
      <c r="L5" s="7" t="n">
        <f aca="false">B5*K5</f>
        <v>18001.5151515152</v>
      </c>
      <c r="M5" s="9" t="n">
        <v>0.75</v>
      </c>
    </row>
    <row r="6" customFormat="false" ht="15" hidden="false" customHeight="false" outlineLevel="0" collapsed="false">
      <c r="A6" s="2" t="s">
        <v>199</v>
      </c>
      <c r="B6" s="12" t="n">
        <f aca="false">x_rate_OPS</f>
        <v>6100</v>
      </c>
      <c r="C6" s="13" t="n">
        <v>0.25</v>
      </c>
      <c r="D6" s="13" t="n">
        <v>0.5</v>
      </c>
      <c r="E6" s="13" t="n">
        <v>0.5</v>
      </c>
      <c r="F6" s="13" t="n">
        <v>0.5</v>
      </c>
      <c r="G6" s="14" t="n">
        <f aca="false">C6*x_pm_A</f>
        <v>0.0992063492063492</v>
      </c>
      <c r="H6" s="14" t="n">
        <f aca="false">D6*x_pm_D</f>
        <v>0.316738816738817</v>
      </c>
      <c r="I6" s="14" t="n">
        <f aca="false">E6*x_pm_B</f>
        <v>1.81455862977602</v>
      </c>
      <c r="J6" s="14" t="n">
        <f aca="false">F6*x_pm_T</f>
        <v>0.765527950310559</v>
      </c>
      <c r="K6" s="14" t="n">
        <f aca="false">SUM(G6:J6)</f>
        <v>2.99603174603175</v>
      </c>
      <c r="L6" s="7" t="n">
        <f aca="false">B6*K6</f>
        <v>18275.7936507937</v>
      </c>
      <c r="M6" s="9" t="n">
        <v>0.5</v>
      </c>
    </row>
    <row r="7" customFormat="false" ht="15" hidden="false" customHeight="false" outlineLevel="0" collapsed="false">
      <c r="A7" s="2" t="s">
        <v>210</v>
      </c>
      <c r="B7" s="2"/>
      <c r="C7" s="9" t="n">
        <f aca="false">SUM(C2:C6)</f>
        <v>3</v>
      </c>
      <c r="D7" s="9" t="n">
        <f aca="false">SUM(D2:D6)</f>
        <v>3.25</v>
      </c>
      <c r="E7" s="9" t="n">
        <f aca="false">SUM(E2:E6)</f>
        <v>3.75</v>
      </c>
      <c r="F7" s="9" t="n">
        <f aca="false">SUM(F2:F6)</f>
        <v>3.75</v>
      </c>
      <c r="G7" s="14" t="n">
        <f aca="false">SUM(G2:G6)</f>
        <v>1.19047619047619</v>
      </c>
      <c r="H7" s="14" t="n">
        <f aca="false">SUM(H2:H6)</f>
        <v>2.05880230880231</v>
      </c>
      <c r="I7" s="14" t="n">
        <f aca="false">SUM(I2:I6)</f>
        <v>13.6091897233202</v>
      </c>
      <c r="J7" s="14" t="n">
        <f aca="false">SUM(J2:J6)</f>
        <v>5.74145962732919</v>
      </c>
      <c r="K7" s="14" t="n">
        <f aca="false">SUM(K2:K6)</f>
        <v>22.5999278499279</v>
      </c>
      <c r="L7" s="7" t="n">
        <f aca="false">SUM(L2:L6)</f>
        <v>120358.333333333</v>
      </c>
      <c r="M7" s="9" t="n">
        <f aca="false">SUM(M2:M6)</f>
        <v>3.75</v>
      </c>
    </row>
    <row r="9" customFormat="false" ht="23.85" hidden="false" customHeight="false" outlineLevel="0" collapsed="false">
      <c r="A9" s="2" t="s">
        <v>247</v>
      </c>
      <c r="B9" s="2"/>
      <c r="C9" s="15" t="n">
        <f aca="false">SUMPRODUCT($B$2:$B$6,C2:C6)</f>
        <v>16275</v>
      </c>
      <c r="D9" s="15" t="n">
        <f aca="false">SUMPRODUCT($B$2:$B$6,D2:D6)</f>
        <v>17700</v>
      </c>
      <c r="E9" s="15" t="n">
        <f aca="false">SUMPRODUCT($B$2:$B$6,E2:E6)</f>
        <v>19900</v>
      </c>
      <c r="F9" s="15" t="n">
        <f aca="false">SUMPRODUCT($B$2:$B$6,F2:F6)</f>
        <v>19900</v>
      </c>
    </row>
    <row r="10" customFormat="false" ht="15" hidden="false" customHeight="false" outlineLevel="0" collapsed="false">
      <c r="A10" s="2" t="s">
        <v>248</v>
      </c>
      <c r="B10" s="2"/>
      <c r="C10" s="15" t="n">
        <f aca="false">SUMPRODUCT($B$2:$B$6,G2:G6)</f>
        <v>6458.33333333333</v>
      </c>
      <c r="D10" s="15" t="n">
        <f aca="false">SUMPRODUCT($B$2:$B$6,H2:H6)</f>
        <v>11212.5541125541</v>
      </c>
      <c r="E10" s="15" t="n">
        <f aca="false">SUMPRODUCT($B$2:$B$6,I2:I6)</f>
        <v>72219.4334650856</v>
      </c>
      <c r="F10" s="15" t="n">
        <f aca="false">SUMPRODUCT($B$2:$B$6,J2:J6)</f>
        <v>30468.0124223603</v>
      </c>
    </row>
    <row r="11" customFormat="false" ht="23.85" hidden="false" customHeight="false" outlineLevel="0" collapsed="false">
      <c r="A11" s="2" t="s">
        <v>249</v>
      </c>
      <c r="B11" s="2"/>
      <c r="C11" s="15" t="n">
        <f aca="false">SUMPRODUCT($B$2:$B$6,$M$2:$M$6)</f>
        <v>19900</v>
      </c>
      <c r="D11" s="2"/>
      <c r="E11" s="2"/>
      <c r="F11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250</v>
      </c>
      <c r="B1" s="1" t="s">
        <v>251</v>
      </c>
      <c r="C1" s="1" t="s">
        <v>211</v>
      </c>
      <c r="D1" s="1" t="s">
        <v>252</v>
      </c>
    </row>
    <row r="2" customFormat="false" ht="23.85" hidden="false" customHeight="false" outlineLevel="0" collapsed="false">
      <c r="A2" s="2" t="s">
        <v>253</v>
      </c>
      <c r="B2" s="2" t="s">
        <v>254</v>
      </c>
      <c r="C2" s="9" t="n">
        <v>1</v>
      </c>
      <c r="D2" s="13" t="n">
        <v>1200</v>
      </c>
    </row>
    <row r="3" customFormat="false" ht="15" hidden="false" customHeight="false" outlineLevel="0" collapsed="false">
      <c r="A3" s="2" t="s">
        <v>253</v>
      </c>
      <c r="B3" s="2" t="s">
        <v>255</v>
      </c>
      <c r="C3" s="9" t="n">
        <v>2</v>
      </c>
      <c r="D3" s="13" t="n">
        <v>2000</v>
      </c>
    </row>
    <row r="4" customFormat="false" ht="15" hidden="false" customHeight="false" outlineLevel="0" collapsed="false">
      <c r="A4" s="2" t="s">
        <v>253</v>
      </c>
      <c r="B4" s="2" t="s">
        <v>256</v>
      </c>
      <c r="C4" s="9" t="n">
        <v>4</v>
      </c>
      <c r="D4" s="13" t="n">
        <v>800</v>
      </c>
    </row>
    <row r="5" customFormat="false" ht="23.85" hidden="false" customHeight="false" outlineLevel="0" collapsed="false">
      <c r="A5" s="2" t="s">
        <v>257</v>
      </c>
      <c r="B5" s="2" t="s">
        <v>258</v>
      </c>
      <c r="C5" s="9" t="n">
        <v>1</v>
      </c>
      <c r="D5" s="13" t="n">
        <v>2500</v>
      </c>
    </row>
    <row r="6" customFormat="false" ht="15" hidden="false" customHeight="false" outlineLevel="0" collapsed="false">
      <c r="A6" s="2" t="s">
        <v>257</v>
      </c>
      <c r="B6" s="2" t="s">
        <v>259</v>
      </c>
      <c r="C6" s="9" t="n">
        <v>2</v>
      </c>
      <c r="D6" s="13" t="n">
        <v>1500</v>
      </c>
    </row>
    <row r="7" customFormat="false" ht="15" hidden="false" customHeight="false" outlineLevel="0" collapsed="false">
      <c r="A7" s="2" t="s">
        <v>257</v>
      </c>
      <c r="B7" s="2" t="s">
        <v>260</v>
      </c>
      <c r="C7" s="9" t="n">
        <v>4</v>
      </c>
      <c r="D7" s="13" t="n">
        <v>1000</v>
      </c>
    </row>
    <row r="8" customFormat="false" ht="23.85" hidden="false" customHeight="false" outlineLevel="0" collapsed="false">
      <c r="A8" s="2" t="s">
        <v>257</v>
      </c>
      <c r="B8" s="2" t="s">
        <v>261</v>
      </c>
      <c r="C8" s="9" t="n">
        <v>6</v>
      </c>
      <c r="D8" s="13" t="n">
        <v>2000</v>
      </c>
    </row>
    <row r="9" customFormat="false" ht="15" hidden="false" customHeight="false" outlineLevel="0" collapsed="false">
      <c r="A9" s="2" t="s">
        <v>262</v>
      </c>
      <c r="B9" s="2" t="s">
        <v>263</v>
      </c>
      <c r="C9" s="9" t="n">
        <v>1</v>
      </c>
      <c r="D9" s="13" t="n">
        <v>200</v>
      </c>
    </row>
    <row r="10" customFormat="false" ht="15" hidden="false" customHeight="false" outlineLevel="0" collapsed="false">
      <c r="A10" s="2" t="s">
        <v>262</v>
      </c>
      <c r="B10" s="2" t="s">
        <v>263</v>
      </c>
      <c r="C10" s="9" t="n">
        <v>2</v>
      </c>
      <c r="D10" s="13" t="n">
        <v>400</v>
      </c>
    </row>
    <row r="11" customFormat="false" ht="15" hidden="false" customHeight="false" outlineLevel="0" collapsed="false">
      <c r="A11" s="2" t="s">
        <v>262</v>
      </c>
      <c r="B11" s="2" t="s">
        <v>263</v>
      </c>
      <c r="C11" s="9" t="n">
        <v>3</v>
      </c>
      <c r="D11" s="13" t="n">
        <v>600</v>
      </c>
    </row>
    <row r="12" customFormat="false" ht="15" hidden="false" customHeight="false" outlineLevel="0" collapsed="false">
      <c r="A12" s="2" t="s">
        <v>262</v>
      </c>
      <c r="B12" s="2" t="s">
        <v>263</v>
      </c>
      <c r="C12" s="9" t="n">
        <v>4</v>
      </c>
      <c r="D12" s="13" t="n">
        <v>600</v>
      </c>
    </row>
    <row r="13" customFormat="false" ht="15" hidden="false" customHeight="false" outlineLevel="0" collapsed="false">
      <c r="A13" s="2" t="s">
        <v>262</v>
      </c>
      <c r="B13" s="2" t="s">
        <v>263</v>
      </c>
      <c r="C13" s="9" t="n">
        <v>5</v>
      </c>
      <c r="D13" s="13" t="n">
        <v>800</v>
      </c>
    </row>
    <row r="14" customFormat="false" ht="15" hidden="false" customHeight="false" outlineLevel="0" collapsed="false">
      <c r="A14" s="2" t="s">
        <v>262</v>
      </c>
      <c r="B14" s="2" t="s">
        <v>263</v>
      </c>
      <c r="C14" s="9" t="n">
        <v>6</v>
      </c>
      <c r="D14" s="13" t="n">
        <v>1000</v>
      </c>
    </row>
    <row r="15" customFormat="false" ht="15" hidden="false" customHeight="false" outlineLevel="0" collapsed="false">
      <c r="A15" s="2" t="s">
        <v>262</v>
      </c>
      <c r="B15" s="2" t="s">
        <v>263</v>
      </c>
      <c r="C15" s="9" t="n">
        <v>7</v>
      </c>
      <c r="D15" s="13" t="n">
        <v>400</v>
      </c>
    </row>
    <row r="17" customFormat="false" ht="23.85" hidden="false" customHeight="false" outlineLevel="0" collapsed="false">
      <c r="A17" s="1" t="s">
        <v>125</v>
      </c>
      <c r="B17" s="1" t="s">
        <v>264</v>
      </c>
      <c r="C17" s="1" t="s">
        <v>265</v>
      </c>
      <c r="D17" s="1" t="s">
        <v>266</v>
      </c>
      <c r="E17" s="1" t="s">
        <v>267</v>
      </c>
      <c r="F17" s="1" t="s">
        <v>268</v>
      </c>
      <c r="G17" s="1" t="s">
        <v>269</v>
      </c>
    </row>
    <row r="18" customFormat="false" ht="15" hidden="false" customHeight="false" outlineLevel="0" collapsed="false">
      <c r="A18" s="2" t="s">
        <v>270</v>
      </c>
      <c r="B18" s="2" t="s">
        <v>271</v>
      </c>
      <c r="C18" s="16" t="n">
        <f aca="false">x_r1_p</f>
        <v>0.4</v>
      </c>
      <c r="D18" s="7" t="n">
        <f aca="false">x_r1_impact</f>
        <v>16000</v>
      </c>
      <c r="E18" s="7" t="n">
        <f aca="false">C18*D18</f>
        <v>6400</v>
      </c>
      <c r="F18" s="12" t="n">
        <f aca="false">x_r1_month</f>
        <v>5</v>
      </c>
      <c r="G18" s="7" t="n">
        <f aca="false">x_team_month*x_mr_days/x_days_avg</f>
        <v>13724.1379310345</v>
      </c>
    </row>
    <row r="19" customFormat="false" ht="15" hidden="false" customHeight="false" outlineLevel="0" collapsed="false">
      <c r="A19" s="2" t="s">
        <v>272</v>
      </c>
      <c r="B19" s="2" t="s">
        <v>273</v>
      </c>
      <c r="C19" s="16" t="n">
        <f aca="false">x_r2_p</f>
        <v>0.25</v>
      </c>
      <c r="D19" s="7" t="n">
        <f aca="false">x_rate_DEV+x_team_month*x_r2_days/x_days_avg</f>
        <v>14849.4252873563</v>
      </c>
      <c r="E19" s="7" t="n">
        <f aca="false">C19*D19</f>
        <v>3712.35632183908</v>
      </c>
      <c r="F19" s="2" t="s">
        <v>274</v>
      </c>
      <c r="G19" s="8" t="n">
        <f aca="false">1-(1-x_r2_turnover)^(2*x_months_total/12)</f>
        <v>0.256818390385847</v>
      </c>
    </row>
    <row r="21" customFormat="false" ht="15" hidden="false" customHeight="false" outlineLevel="0" collapsed="false">
      <c r="A21" s="1" t="s">
        <v>250</v>
      </c>
      <c r="B21" s="1" t="s">
        <v>252</v>
      </c>
      <c r="C21" s="1" t="s">
        <v>275</v>
      </c>
      <c r="D21" s="1" t="s">
        <v>276</v>
      </c>
    </row>
    <row r="22" customFormat="false" ht="15" hidden="false" customHeight="false" outlineLevel="0" collapsed="false">
      <c r="A22" s="2" t="s">
        <v>277</v>
      </c>
      <c r="B22" s="7" t="n">
        <f aca="false">x_labor</f>
        <v>120358.333333333</v>
      </c>
      <c r="C22" s="2" t="s">
        <v>278</v>
      </c>
      <c r="D22" s="2" t="s">
        <v>279</v>
      </c>
    </row>
    <row r="23" customFormat="false" ht="15" hidden="false" customHeight="false" outlineLevel="0" collapsed="false">
      <c r="A23" s="2" t="s">
        <v>253</v>
      </c>
      <c r="B23" s="7" t="n">
        <f aca="false">SUMIF(A2:A15,"Обладнання",D2:D15)</f>
        <v>4000</v>
      </c>
      <c r="C23" s="2" t="s">
        <v>280</v>
      </c>
      <c r="D23" s="2" t="s">
        <v>66</v>
      </c>
    </row>
    <row r="24" customFormat="false" ht="15" hidden="false" customHeight="false" outlineLevel="0" collapsed="false">
      <c r="A24" s="2" t="s">
        <v>257</v>
      </c>
      <c r="B24" s="7" t="n">
        <f aca="false">SUMIF(A2:A15,"Ліцензії",D2:D15)</f>
        <v>7000</v>
      </c>
      <c r="C24" s="2" t="s">
        <v>280</v>
      </c>
      <c r="D24" s="2" t="s">
        <v>66</v>
      </c>
    </row>
    <row r="25" customFormat="false" ht="15" hidden="false" customHeight="false" outlineLevel="0" collapsed="false">
      <c r="A25" s="2" t="s">
        <v>262</v>
      </c>
      <c r="B25" s="7" t="n">
        <f aca="false">SUMIF(A2:A15,"Cloud розроблення",D2:D15)</f>
        <v>4000</v>
      </c>
      <c r="C25" s="2" t="s">
        <v>281</v>
      </c>
      <c r="D25" s="2" t="s">
        <v>66</v>
      </c>
    </row>
    <row r="26" customFormat="false" ht="15" hidden="false" customHeight="false" outlineLevel="0" collapsed="false">
      <c r="A26" s="2" t="s">
        <v>282</v>
      </c>
      <c r="B26" s="7" t="n">
        <f aca="false">SUM(B22:B25)</f>
        <v>135358.333333333</v>
      </c>
      <c r="C26" s="2"/>
      <c r="D26" s="2" t="s">
        <v>283</v>
      </c>
    </row>
    <row r="27" customFormat="false" ht="15" hidden="false" customHeight="false" outlineLevel="0" collapsed="false">
      <c r="A27" s="2" t="s">
        <v>284</v>
      </c>
      <c r="B27" s="7" t="n">
        <f aca="false">SUM(E18:E19)</f>
        <v>10112.3563218391</v>
      </c>
      <c r="C27" s="2" t="s">
        <v>281</v>
      </c>
      <c r="D27" s="2" t="s">
        <v>285</v>
      </c>
    </row>
    <row r="28" customFormat="false" ht="15" hidden="false" customHeight="false" outlineLevel="0" collapsed="false">
      <c r="A28" s="2" t="s">
        <v>286</v>
      </c>
      <c r="B28" s="7" t="n">
        <f aca="false">B26+B27</f>
        <v>145470.689655172</v>
      </c>
      <c r="C28" s="2"/>
      <c r="D28" s="2" t="s">
        <v>287</v>
      </c>
    </row>
    <row r="29" customFormat="false" ht="15" hidden="false" customHeight="false" outlineLevel="0" collapsed="false">
      <c r="A29" s="2" t="s">
        <v>288</v>
      </c>
      <c r="B29" s="7" t="n">
        <f aca="false">D18-E18</f>
        <v>9600</v>
      </c>
      <c r="C29" s="2" t="s">
        <v>289</v>
      </c>
      <c r="D29" s="2" t="s">
        <v>290</v>
      </c>
    </row>
    <row r="30" customFormat="false" ht="15" hidden="false" customHeight="false" outlineLevel="0" collapsed="false">
      <c r="A30" s="2" t="s">
        <v>291</v>
      </c>
      <c r="B30" s="7" t="n">
        <f aca="false">B28+B29</f>
        <v>155070.689655172</v>
      </c>
      <c r="C30" s="2"/>
      <c r="D30" s="2" t="s">
        <v>292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13" min="3" style="0" width="10"/>
    <col collapsed="false" customWidth="true" hidden="false" outlineLevel="0" max="14" min="14" style="0" width="11"/>
  </cols>
  <sheetData>
    <row r="1" customFormat="false" ht="23.85" hidden="false" customHeight="false" outlineLevel="0" collapsed="false">
      <c r="A1" s="1" t="s">
        <v>293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210</v>
      </c>
    </row>
    <row r="2" customFormat="false" ht="15" hidden="false" customHeight="false" outlineLevel="0" collapsed="false">
      <c r="A2" s="2" t="s">
        <v>294</v>
      </c>
      <c r="B2" s="15" t="n">
        <f aca="false">SUMPRODUCT('Календар і фази'!G9:J9,Labor!$C$9:$F$9)</f>
        <v>17134.5238095238</v>
      </c>
      <c r="C2" s="15" t="n">
        <f aca="false">SUMPRODUCT('Календар і фази'!G10:J10,Labor!$C$9:$F$9)</f>
        <v>19833.3333333333</v>
      </c>
      <c r="D2" s="15" t="n">
        <f aca="false">SUMPRODUCT('Календар і фази'!G11:J11,Labor!$C$9:$F$9)</f>
        <v>19900</v>
      </c>
      <c r="E2" s="15" t="n">
        <f aca="false">SUMPRODUCT('Календар і фази'!G12:J12,Labor!$C$9:$F$9)</f>
        <v>19900</v>
      </c>
      <c r="F2" s="15" t="n">
        <f aca="false">SUMPRODUCT('Календар і фази'!G13:J13,Labor!$C$9:$F$9)</f>
        <v>19900</v>
      </c>
      <c r="G2" s="15" t="n">
        <f aca="false">SUMPRODUCT('Календар і фази'!G14:J14,Labor!$C$9:$F$9)</f>
        <v>19900</v>
      </c>
      <c r="H2" s="15" t="n">
        <f aca="false">SUMPRODUCT('Календар і фази'!G15:J15,Labor!$C$9:$F$9)</f>
        <v>3790.47619047619</v>
      </c>
      <c r="I2" s="15" t="n">
        <f aca="false">SUMPRODUCT('Календар і фази'!G16:J16,Labor!$C$9:$F$9)</f>
        <v>0</v>
      </c>
      <c r="J2" s="15" t="n">
        <f aca="false">SUMPRODUCT('Календар і фази'!G17:J17,Labor!$C$9:$F$9)</f>
        <v>0</v>
      </c>
      <c r="K2" s="15" t="n">
        <f aca="false">SUMPRODUCT('Календар і фази'!G18:J18,Labor!$C$9:$F$9)</f>
        <v>0</v>
      </c>
      <c r="L2" s="15" t="n">
        <f aca="false">SUMPRODUCT('Календар і фази'!G19:J19,Labor!$C$9:$F$9)</f>
        <v>0</v>
      </c>
      <c r="M2" s="15" t="n">
        <f aca="false">SUMPRODUCT('Календар і фази'!G20:J20,Labor!$C$9:$F$9)</f>
        <v>0</v>
      </c>
      <c r="N2" s="15" t="n">
        <f aca="false">SUM(B2:M2)</f>
        <v>120358.333333333</v>
      </c>
    </row>
    <row r="3" customFormat="false" ht="15" hidden="false" customHeight="false" outlineLevel="0" collapsed="false">
      <c r="A3" s="2" t="s">
        <v>295</v>
      </c>
      <c r="B3" s="15" t="n">
        <f aca="false">SUMIF('Baseline MVP'!$C$2:$C$15,1,'Baseline MVP'!$D$2:$D$15)-SUMIFS('Baseline MVP'!$D$2:$D$15,'Baseline MVP'!$C$2:$C$15,1,'Baseline MVP'!$A$2:$A$15,"Cloud розроблення")</f>
        <v>3700</v>
      </c>
      <c r="C3" s="15" t="n">
        <f aca="false">SUMIF('Baseline MVP'!$C$2:$C$15,2,'Baseline MVP'!$D$2:$D$15)-SUMIFS('Baseline MVP'!$D$2:$D$15,'Baseline MVP'!$C$2:$C$15,2,'Baseline MVP'!$A$2:$A$15,"Cloud розроблення")</f>
        <v>3500</v>
      </c>
      <c r="D3" s="15" t="n">
        <f aca="false">SUMIF('Baseline MVP'!$C$2:$C$15,3,'Baseline MVP'!$D$2:$D$15)-SUMIFS('Baseline MVP'!$D$2:$D$15,'Baseline MVP'!$C$2:$C$15,3,'Baseline MVP'!$A$2:$A$15,"Cloud розроблення")</f>
        <v>0</v>
      </c>
      <c r="E3" s="15" t="n">
        <f aca="false">SUMIF('Baseline MVP'!$C$2:$C$15,4,'Baseline MVP'!$D$2:$D$15)-SUMIFS('Baseline MVP'!$D$2:$D$15,'Baseline MVP'!$C$2:$C$15,4,'Baseline MVP'!$A$2:$A$15,"Cloud розроблення")</f>
        <v>1800</v>
      </c>
      <c r="F3" s="15" t="n">
        <f aca="false">SUMIF('Baseline MVP'!$C$2:$C$15,5,'Baseline MVP'!$D$2:$D$15)-SUMIFS('Baseline MVP'!$D$2:$D$15,'Baseline MVP'!$C$2:$C$15,5,'Baseline MVP'!$A$2:$A$15,"Cloud розроблення")</f>
        <v>0</v>
      </c>
      <c r="G3" s="15" t="n">
        <f aca="false">SUMIF('Baseline MVP'!$C$2:$C$15,6,'Baseline MVP'!$D$2:$D$15)-SUMIFS('Baseline MVP'!$D$2:$D$15,'Baseline MVP'!$C$2:$C$15,6,'Baseline MVP'!$A$2:$A$15,"Cloud розроблення")</f>
        <v>2000</v>
      </c>
      <c r="H3" s="15" t="n">
        <f aca="false">SUMIF('Baseline MVP'!$C$2:$C$15,7,'Baseline MVP'!$D$2:$D$15)-SUMIFS('Baseline MVP'!$D$2:$D$15,'Baseline MVP'!$C$2:$C$15,7,'Baseline MVP'!$A$2:$A$15,"Cloud розроблення")</f>
        <v>0</v>
      </c>
      <c r="I3" s="15" t="n">
        <f aca="false">SUMIF('Baseline MVP'!$C$2:$C$15,8,'Baseline MVP'!$D$2:$D$15)-SUMIFS('Baseline MVP'!$D$2:$D$15,'Baseline MVP'!$C$2:$C$15,8,'Baseline MVP'!$A$2:$A$15,"Cloud розроблення")</f>
        <v>0</v>
      </c>
      <c r="J3" s="15" t="n">
        <f aca="false">SUMIF('Baseline MVP'!$C$2:$C$15,9,'Baseline MVP'!$D$2:$D$15)-SUMIFS('Baseline MVP'!$D$2:$D$15,'Baseline MVP'!$C$2:$C$15,9,'Baseline MVP'!$A$2:$A$15,"Cloud розроблення")</f>
        <v>0</v>
      </c>
      <c r="K3" s="15" t="n">
        <f aca="false">SUMIF('Baseline MVP'!$C$2:$C$15,10,'Baseline MVP'!$D$2:$D$15)-SUMIFS('Baseline MVP'!$D$2:$D$15,'Baseline MVP'!$C$2:$C$15,10,'Baseline MVP'!$A$2:$A$15,"Cloud розроблення")</f>
        <v>0</v>
      </c>
      <c r="L3" s="15" t="n">
        <f aca="false">SUMIF('Baseline MVP'!$C$2:$C$15,11,'Baseline MVP'!$D$2:$D$15)-SUMIFS('Baseline MVP'!$D$2:$D$15,'Baseline MVP'!$C$2:$C$15,11,'Baseline MVP'!$A$2:$A$15,"Cloud розроблення")</f>
        <v>0</v>
      </c>
      <c r="M3" s="15" t="n">
        <f aca="false">SUMIF('Baseline MVP'!$C$2:$C$15,12,'Baseline MVP'!$D$2:$D$15)-SUMIFS('Baseline MVP'!$D$2:$D$15,'Baseline MVP'!$C$2:$C$15,12,'Baseline MVP'!$A$2:$A$15,"Cloud розроблення")</f>
        <v>0</v>
      </c>
      <c r="N3" s="15" t="n">
        <f aca="false">SUM(B3:M3)</f>
        <v>11000</v>
      </c>
    </row>
    <row r="4" customFormat="false" ht="15" hidden="false" customHeight="false" outlineLevel="0" collapsed="false">
      <c r="A4" s="2" t="s">
        <v>296</v>
      </c>
      <c r="B4" s="15" t="n">
        <f aca="false">SUMIFS('Baseline MVP'!$D$2:$D$15,'Baseline MVP'!$C$2:$C$15,1,'Baseline MVP'!$A$2:$A$15,"Cloud розроблення")+x_cloud_y1/12*'Календар і фази'!K9</f>
        <v>200</v>
      </c>
      <c r="C4" s="15" t="n">
        <f aca="false">SUMIFS('Baseline MVP'!$D$2:$D$15,'Baseline MVP'!$C$2:$C$15,2,'Baseline MVP'!$A$2:$A$15,"Cloud розроблення")+x_cloud_y1/12*'Календар і фази'!K10</f>
        <v>400</v>
      </c>
      <c r="D4" s="15" t="n">
        <f aca="false">SUMIFS('Baseline MVP'!$D$2:$D$15,'Baseline MVP'!$C$2:$C$15,3,'Baseline MVP'!$A$2:$A$15,"Cloud розроблення")+x_cloud_y1/12*'Календар і фази'!K11</f>
        <v>600</v>
      </c>
      <c r="E4" s="15" t="n">
        <f aca="false">SUMIFS('Baseline MVP'!$D$2:$D$15,'Baseline MVP'!$C$2:$C$15,4,'Baseline MVP'!$A$2:$A$15,"Cloud розроблення")+x_cloud_y1/12*'Календар і фази'!K12</f>
        <v>600</v>
      </c>
      <c r="F4" s="15" t="n">
        <f aca="false">SUMIFS('Baseline MVP'!$D$2:$D$15,'Baseline MVP'!$C$2:$C$15,5,'Baseline MVP'!$A$2:$A$15,"Cloud розроблення")+x_cloud_y1/12*'Календар і фази'!K13</f>
        <v>800</v>
      </c>
      <c r="G4" s="15" t="n">
        <f aca="false">SUMIFS('Baseline MVP'!$D$2:$D$15,'Baseline MVP'!$C$2:$C$15,6,'Baseline MVP'!$A$2:$A$15,"Cloud розроблення")+x_cloud_y1/12*'Календар і фази'!K14</f>
        <v>1000</v>
      </c>
      <c r="H4" s="15" t="n">
        <f aca="false">SUMIFS('Baseline MVP'!$D$2:$D$15,'Baseline MVP'!$C$2:$C$15,7,'Baseline MVP'!$A$2:$A$15,"Cloud розроблення")+x_cloud_y1/12*'Календар і фази'!K15</f>
        <v>1209.52380952381</v>
      </c>
      <c r="I4" s="15" t="n">
        <f aca="false">SUMIFS('Baseline MVP'!$D$2:$D$15,'Baseline MVP'!$C$2:$C$15,8,'Baseline MVP'!$A$2:$A$15,"Cloud розроблення")+x_cloud_y1/12*'Календар і фази'!K16</f>
        <v>1000</v>
      </c>
      <c r="J4" s="15" t="n">
        <f aca="false">SUMIFS('Baseline MVP'!$D$2:$D$15,'Baseline MVP'!$C$2:$C$15,9,'Baseline MVP'!$A$2:$A$15,"Cloud розроблення")+x_cloud_y1/12*'Календар і фази'!K17</f>
        <v>1000</v>
      </c>
      <c r="K4" s="15" t="n">
        <f aca="false">SUMIFS('Baseline MVP'!$D$2:$D$15,'Baseline MVP'!$C$2:$C$15,10,'Baseline MVP'!$A$2:$A$15,"Cloud розроблення")+x_cloud_y1/12*'Календар і фази'!K18</f>
        <v>1000</v>
      </c>
      <c r="L4" s="15" t="n">
        <f aca="false">SUMIFS('Baseline MVP'!$D$2:$D$15,'Baseline MVP'!$C$2:$C$15,11,'Baseline MVP'!$A$2:$A$15,"Cloud розроблення")+x_cloud_y1/12*'Календар і фази'!K19</f>
        <v>1000</v>
      </c>
      <c r="M4" s="15" t="n">
        <f aca="false">SUMIFS('Baseline MVP'!$D$2:$D$15,'Baseline MVP'!$C$2:$C$15,12,'Baseline MVP'!$A$2:$A$15,"Cloud розроблення")+x_cloud_y1/12*'Календар і фази'!K20</f>
        <v>1000</v>
      </c>
      <c r="N4" s="15" t="n">
        <f aca="false">SUM(B4:M4)</f>
        <v>9809.52380952381</v>
      </c>
    </row>
    <row r="5" customFormat="false" ht="15" hidden="false" customHeight="false" outlineLevel="0" collapsed="false">
      <c r="A5" s="2" t="s">
        <v>171</v>
      </c>
      <c r="B5" s="15" t="n">
        <f aca="false">(TCO!$H$4+TCO!$H$5)/12*'Календар і фази'!K9</f>
        <v>0</v>
      </c>
      <c r="C5" s="15" t="n">
        <f aca="false">(TCO!$H$4+TCO!$H$5)/12*'Календар і фази'!K10</f>
        <v>0</v>
      </c>
      <c r="D5" s="15" t="n">
        <f aca="false">(TCO!$H$4+TCO!$H$5)/12*'Календар і фази'!K11</f>
        <v>0</v>
      </c>
      <c r="E5" s="15" t="n">
        <f aca="false">(TCO!$H$4+TCO!$H$5)/12*'Календар і фази'!K12</f>
        <v>0</v>
      </c>
      <c r="F5" s="15" t="n">
        <f aca="false">(TCO!$H$4+TCO!$H$5)/12*'Календар і фази'!K13</f>
        <v>0</v>
      </c>
      <c r="G5" s="15" t="n">
        <f aca="false">(TCO!$H$4+TCO!$H$5)/12*'Календар і фази'!K14</f>
        <v>0</v>
      </c>
      <c r="H5" s="15" t="n">
        <f aca="false">(TCO!$H$4+TCO!$H$5)/12*'Календар і фази'!K15</f>
        <v>5322.61904761905</v>
      </c>
      <c r="I5" s="15" t="n">
        <f aca="false">(TCO!$H$4+TCO!$H$5)/12*'Календар і фази'!K16</f>
        <v>6575</v>
      </c>
      <c r="J5" s="15" t="n">
        <f aca="false">(TCO!$H$4+TCO!$H$5)/12*'Календар і фази'!K17</f>
        <v>6575</v>
      </c>
      <c r="K5" s="15" t="n">
        <f aca="false">(TCO!$H$4+TCO!$H$5)/12*'Календар і фази'!K18</f>
        <v>6575</v>
      </c>
      <c r="L5" s="15" t="n">
        <f aca="false">(TCO!$H$4+TCO!$H$5)/12*'Календар і фази'!K19</f>
        <v>6575</v>
      </c>
      <c r="M5" s="15" t="n">
        <f aca="false">(TCO!$H$4+TCO!$H$5)/12*'Календар і фази'!K20</f>
        <v>6575</v>
      </c>
      <c r="N5" s="15" t="n">
        <f aca="false">SUM(B5:M5)</f>
        <v>38197.619047619</v>
      </c>
    </row>
    <row r="6" customFormat="false" ht="15" hidden="false" customHeight="false" outlineLevel="0" collapsed="false">
      <c r="A6" s="2" t="s">
        <v>297</v>
      </c>
      <c r="B6" s="15" t="n">
        <f aca="false">SUMIF('Baseline MVP'!$F$18:$F$19,1,'Baseline MVP'!$E$18:$E$19)</f>
        <v>0</v>
      </c>
      <c r="C6" s="15" t="n">
        <f aca="false">SUMIF('Baseline MVP'!$F$18:$F$19,2,'Baseline MVP'!$E$18:$E$19)</f>
        <v>0</v>
      </c>
      <c r="D6" s="15" t="n">
        <f aca="false">SUMIF('Baseline MVP'!$F$18:$F$19,3,'Baseline MVP'!$E$18:$E$19)</f>
        <v>0</v>
      </c>
      <c r="E6" s="15" t="n">
        <f aca="false">SUMIF('Baseline MVP'!$F$18:$F$19,4,'Baseline MVP'!$E$18:$E$19)</f>
        <v>0</v>
      </c>
      <c r="F6" s="15" t="n">
        <f aca="false">SUMIF('Baseline MVP'!$F$18:$F$19,5,'Baseline MVP'!$E$18:$E$19)</f>
        <v>6400</v>
      </c>
      <c r="G6" s="15" t="n">
        <f aca="false">SUMIF('Baseline MVP'!$F$18:$F$19,6,'Baseline MVP'!$E$18:$E$19)</f>
        <v>0</v>
      </c>
      <c r="H6" s="15" t="n">
        <f aca="false">SUMIF('Baseline MVP'!$F$18:$F$19,7,'Baseline MVP'!$E$18:$E$19)</f>
        <v>0</v>
      </c>
      <c r="I6" s="15" t="n">
        <f aca="false">SUMIF('Baseline MVP'!$F$18:$F$19,8,'Baseline MVP'!$E$18:$E$19)</f>
        <v>0</v>
      </c>
      <c r="J6" s="15" t="n">
        <f aca="false">SUMIF('Baseline MVP'!$F$18:$F$19,9,'Baseline MVP'!$E$18:$E$19)</f>
        <v>0</v>
      </c>
      <c r="K6" s="15" t="n">
        <f aca="false">SUMIF('Baseline MVP'!$F$18:$F$19,10,'Baseline MVP'!$E$18:$E$19)</f>
        <v>0</v>
      </c>
      <c r="L6" s="15" t="n">
        <f aca="false">SUMIF('Baseline MVP'!$F$18:$F$19,11,'Baseline MVP'!$E$18:$E$19)</f>
        <v>0</v>
      </c>
      <c r="M6" s="15" t="n">
        <f aca="false">SUMIF('Baseline MVP'!$F$18:$F$19,12,'Baseline MVP'!$E$18:$E$19)</f>
        <v>0</v>
      </c>
      <c r="N6" s="15" t="n">
        <f aca="false">SUM(B6:M6)</f>
        <v>6400</v>
      </c>
    </row>
    <row r="7" customFormat="false" ht="15" hidden="false" customHeight="false" outlineLevel="0" collapsed="false">
      <c r="A7" s="2" t="s">
        <v>298</v>
      </c>
      <c r="B7" s="15" t="n">
        <f aca="false">SUM(B2:B6)</f>
        <v>21034.5238095238</v>
      </c>
      <c r="C7" s="15" t="n">
        <f aca="false">SUM(C2:C6)</f>
        <v>23733.3333333333</v>
      </c>
      <c r="D7" s="15" t="n">
        <f aca="false">SUM(D2:D6)</f>
        <v>20500</v>
      </c>
      <c r="E7" s="15" t="n">
        <f aca="false">SUM(E2:E6)</f>
        <v>22300</v>
      </c>
      <c r="F7" s="15" t="n">
        <f aca="false">SUM(F2:F6)</f>
        <v>27100</v>
      </c>
      <c r="G7" s="15" t="n">
        <f aca="false">SUM(G2:G6)</f>
        <v>22900</v>
      </c>
      <c r="H7" s="15" t="n">
        <f aca="false">SUM(H2:H6)</f>
        <v>10322.619047619</v>
      </c>
      <c r="I7" s="15" t="n">
        <f aca="false">SUM(I2:I6)</f>
        <v>7575</v>
      </c>
      <c r="J7" s="15" t="n">
        <f aca="false">SUM(J2:J6)</f>
        <v>7575</v>
      </c>
      <c r="K7" s="15" t="n">
        <f aca="false">SUM(K2:K6)</f>
        <v>7575</v>
      </c>
      <c r="L7" s="15" t="n">
        <f aca="false">SUM(L2:L6)</f>
        <v>7575</v>
      </c>
      <c r="M7" s="15" t="n">
        <f aca="false">SUM(M2:M6)</f>
        <v>7575</v>
      </c>
      <c r="N7" s="15" t="n">
        <f aca="false">SUM(B7:M7)</f>
        <v>185765.476190476</v>
      </c>
    </row>
    <row r="8" customFormat="false" ht="15" hidden="false" customHeight="false" outlineLevel="0" collapsed="false">
      <c r="A8" s="2" t="s">
        <v>299</v>
      </c>
      <c r="B8" s="15" t="n">
        <f aca="false">B7</f>
        <v>21034.5238095238</v>
      </c>
      <c r="C8" s="15" t="n">
        <f aca="false">B8+C7</f>
        <v>44767.8571428571</v>
      </c>
      <c r="D8" s="15" t="n">
        <f aca="false">C8+D7</f>
        <v>65267.8571428571</v>
      </c>
      <c r="E8" s="15" t="n">
        <f aca="false">D8+E7</f>
        <v>87567.8571428571</v>
      </c>
      <c r="F8" s="15" t="n">
        <f aca="false">E8+F7</f>
        <v>114667.857142857</v>
      </c>
      <c r="G8" s="15" t="n">
        <f aca="false">F8+G7</f>
        <v>137567.857142857</v>
      </c>
      <c r="H8" s="15" t="n">
        <f aca="false">G8+H7</f>
        <v>147890.476190476</v>
      </c>
      <c r="I8" s="15" t="n">
        <f aca="false">H8+I7</f>
        <v>155465.476190476</v>
      </c>
      <c r="J8" s="15" t="n">
        <f aca="false">I8+J7</f>
        <v>163040.476190476</v>
      </c>
      <c r="K8" s="15" t="n">
        <f aca="false">J8+K7</f>
        <v>170615.476190476</v>
      </c>
      <c r="L8" s="15" t="n">
        <f aca="false">K8+L7</f>
        <v>178190.476190476</v>
      </c>
      <c r="M8" s="15" t="n">
        <f aca="false">L8+M7</f>
        <v>185765.476190476</v>
      </c>
      <c r="N8" s="17"/>
    </row>
    <row r="9" customFormat="false" ht="15" hidden="false" customHeight="false" outlineLevel="0" collapsed="false">
      <c r="A9" s="2" t="s">
        <v>300</v>
      </c>
      <c r="B9" s="15" t="n">
        <f aca="false">B7-x_cloud_y1/12*'Календар і фази'!K9+x_alt_op/12*'Календар і фази'!K9+IF(1=x_alt_month,x_alt_start,0)</f>
        <v>21034.5238095238</v>
      </c>
      <c r="C9" s="15" t="n">
        <f aca="false">C7-x_cloud_y1/12*'Календар і фази'!K10+x_alt_op/12*'Календар і фази'!K10+IF(2=x_alt_month,x_alt_start,0)</f>
        <v>23733.3333333333</v>
      </c>
      <c r="D9" s="15" t="n">
        <f aca="false">D7-x_cloud_y1/12*'Календар і фази'!K11+x_alt_op/12*'Календар і фази'!K11+IF(3=x_alt_month,x_alt_start,0)</f>
        <v>20500</v>
      </c>
      <c r="E9" s="15" t="n">
        <f aca="false">E7-x_cloud_y1/12*'Календар і фази'!K12+x_alt_op/12*'Календар і фази'!K12+IF(4=x_alt_month,x_alt_start,0)</f>
        <v>22300</v>
      </c>
      <c r="F9" s="15" t="n">
        <f aca="false">F7-x_cloud_y1/12*'Календар і фази'!K13+x_alt_op/12*'Календар і фази'!K13+IF(5=x_alt_month,x_alt_start,0)</f>
        <v>27100</v>
      </c>
      <c r="G9" s="15" t="n">
        <f aca="false">G7-x_cloud_y1/12*'Календар і фази'!K14+x_alt_op/12*'Календар і фази'!K14+IF(6=x_alt_month,x_alt_start,0)</f>
        <v>58900</v>
      </c>
      <c r="H9" s="15" t="n">
        <f aca="false">H7-x_cloud_y1/12*'Календар і фази'!K15+x_alt_op/12*'Календар і фази'!K15+IF(7=x_alt_month,x_alt_start,0)</f>
        <v>10525</v>
      </c>
      <c r="I9" s="15" t="n">
        <f aca="false">I7-x_cloud_y1/12*'Календар і фази'!K16+x_alt_op/12*'Календар і фази'!K16+IF(8=x_alt_month,x_alt_start,0)</f>
        <v>7825</v>
      </c>
      <c r="J9" s="15" t="n">
        <f aca="false">J7-x_cloud_y1/12*'Календар і фази'!K17+x_alt_op/12*'Календар і фази'!K17+IF(9=x_alt_month,x_alt_start,0)</f>
        <v>7825</v>
      </c>
      <c r="K9" s="15" t="n">
        <f aca="false">K7-x_cloud_y1/12*'Календар і фази'!K18+x_alt_op/12*'Календар і фази'!K18+IF(10=x_alt_month,x_alt_start,0)</f>
        <v>7825</v>
      </c>
      <c r="L9" s="15" t="n">
        <f aca="false">L7-x_cloud_y1/12*'Календар і фази'!K19+x_alt_op/12*'Календар і фази'!K19+IF(11=x_alt_month,x_alt_start,0)</f>
        <v>7825</v>
      </c>
      <c r="M9" s="15" t="n">
        <f aca="false">M7-x_cloud_y1/12*'Календар і фази'!K20+x_alt_op/12*'Календар і фази'!K20+IF(12=x_alt_month,x_alt_start,0)</f>
        <v>7825</v>
      </c>
      <c r="N9" s="15" t="n">
        <f aca="false">SUM(B9:M9)</f>
        <v>223217.857142857</v>
      </c>
    </row>
    <row r="11" customFormat="false" ht="15" hidden="false" customHeight="false" outlineLevel="0" collapsed="false">
      <c r="A11" s="1" t="s">
        <v>1</v>
      </c>
      <c r="B11" s="1" t="s">
        <v>2</v>
      </c>
    </row>
    <row r="12" customFormat="false" ht="15" hidden="false" customHeight="false" outlineLevel="0" collapsed="false">
      <c r="A12" s="2" t="s">
        <v>301</v>
      </c>
      <c r="B12" s="7" t="n">
        <f aca="false">x_cont</f>
        <v>10112.3563218391</v>
      </c>
    </row>
    <row r="13" customFormat="false" ht="15" hidden="false" customHeight="false" outlineLevel="0" collapsed="false">
      <c r="A13" s="2" t="s">
        <v>302</v>
      </c>
      <c r="B13" s="7" t="n">
        <f aca="false">N6</f>
        <v>6400</v>
      </c>
    </row>
    <row r="14" customFormat="false" ht="15" hidden="false" customHeight="false" outlineLevel="0" collapsed="false">
      <c r="A14" s="2" t="s">
        <v>303</v>
      </c>
      <c r="B14" s="7" t="n">
        <f aca="false">B12-B13</f>
        <v>3712.35632183908</v>
      </c>
    </row>
    <row r="15" customFormat="false" ht="15" hidden="false" customHeight="false" outlineLevel="0" collapsed="false">
      <c r="A15" s="2" t="s">
        <v>304</v>
      </c>
      <c r="B15" s="7" t="n">
        <f aca="false">x_mr</f>
        <v>9600</v>
      </c>
    </row>
    <row r="16" customFormat="false" ht="15" hidden="false" customHeight="false" outlineLevel="0" collapsed="false">
      <c r="A16" s="2" t="s">
        <v>305</v>
      </c>
      <c r="B16" s="9" t="str">
        <f aca="false">"M7, "&amp;TEXT(WORKDAY(x_start,x_bl_days-1,x_holidays),"DD.MM.YYYY")</f>
        <v>M7, 06.05.2027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7" min="4" style="0" width="15"/>
    <col collapsed="false" customWidth="true" hidden="false" outlineLevel="0" max="9" min="8" style="0" width="11"/>
    <col collapsed="false" customWidth="true" hidden="false" outlineLevel="0" max="10" min="10" style="0" width="15"/>
  </cols>
  <sheetData>
    <row r="1" customFormat="false" ht="23.85" hidden="false" customHeight="false" outlineLevel="0" collapsed="false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 customFormat="false" ht="15" hidden="false" customHeight="false" outlineLevel="0" collapsed="false">
      <c r="A2" s="2" t="s">
        <v>316</v>
      </c>
      <c r="B2" s="15" t="n">
        <f aca="false">x_cbl</f>
        <v>145470.689655172</v>
      </c>
      <c r="C2" s="15" t="n">
        <v>0</v>
      </c>
      <c r="D2" s="15" t="n">
        <v>0</v>
      </c>
      <c r="E2" s="15" t="n">
        <f aca="false">x_cbl+x_alt_start</f>
        <v>181470.689655172</v>
      </c>
      <c r="F2" s="15" t="n">
        <v>0</v>
      </c>
      <c r="G2" s="15" t="n">
        <v>0</v>
      </c>
      <c r="H2" s="17"/>
      <c r="I2" s="15" t="n">
        <f aca="false">SUM(B2:D2)</f>
        <v>145470.689655172</v>
      </c>
      <c r="J2" s="15" t="n">
        <f aca="false">SUM(E2:G2)</f>
        <v>181470.689655172</v>
      </c>
    </row>
    <row r="3" customFormat="false" ht="15" hidden="false" customHeight="false" outlineLevel="0" collapsed="false">
      <c r="A3" s="2" t="s">
        <v>317</v>
      </c>
      <c r="B3" s="15" t="n">
        <f aca="false">x_cloud_y1</f>
        <v>12000</v>
      </c>
      <c r="C3" s="15" t="n">
        <f aca="false">B3*(1+x_g2)</f>
        <v>14400</v>
      </c>
      <c r="D3" s="15" t="n">
        <f aca="false">C3*(1+x_g3)</f>
        <v>15840</v>
      </c>
      <c r="E3" s="15" t="n">
        <f aca="false">x_alt_op</f>
        <v>15000</v>
      </c>
      <c r="F3" s="15" t="n">
        <f aca="false">x_alt_op</f>
        <v>15000</v>
      </c>
      <c r="G3" s="15" t="n">
        <f aca="false">x_alt_op</f>
        <v>15000</v>
      </c>
      <c r="H3" s="17"/>
      <c r="I3" s="15" t="n">
        <f aca="false">SUM(B3:D3)</f>
        <v>42240</v>
      </c>
      <c r="J3" s="15" t="n">
        <f aca="false">SUM(E3:G3)</f>
        <v>45000</v>
      </c>
    </row>
    <row r="4" customFormat="false" ht="15" hidden="false" customHeight="false" outlineLevel="0" collapsed="false">
      <c r="A4" s="2" t="s">
        <v>318</v>
      </c>
      <c r="B4" s="15" t="n">
        <f aca="false">$H$4</f>
        <v>32100</v>
      </c>
      <c r="C4" s="15" t="n">
        <f aca="false">$H$4</f>
        <v>32100</v>
      </c>
      <c r="D4" s="15" t="n">
        <f aca="false">$H$4</f>
        <v>32100</v>
      </c>
      <c r="E4" s="15" t="n">
        <f aca="false">$H$4</f>
        <v>32100</v>
      </c>
      <c r="F4" s="15" t="n">
        <f aca="false">$H$4</f>
        <v>32100</v>
      </c>
      <c r="G4" s="15" t="n">
        <f aca="false">$H$4</f>
        <v>32100</v>
      </c>
      <c r="H4" s="15" t="n">
        <f aca="false">12*(x_sup_ops*x_rate_OPS+x_sup_ba*x_rate_BA)</f>
        <v>32100</v>
      </c>
      <c r="I4" s="15" t="n">
        <f aca="false">SUM(B4:D4)</f>
        <v>96300</v>
      </c>
      <c r="J4" s="15" t="n">
        <f aca="false">SUM(E4:G4)</f>
        <v>96300</v>
      </c>
    </row>
    <row r="5" customFormat="false" ht="15" hidden="false" customHeight="false" outlineLevel="0" collapsed="false">
      <c r="A5" s="2" t="s">
        <v>319</v>
      </c>
      <c r="B5" s="15" t="n">
        <f aca="false">$H$5</f>
        <v>46800</v>
      </c>
      <c r="C5" s="15" t="n">
        <f aca="false">$H$5</f>
        <v>46800</v>
      </c>
      <c r="D5" s="15" t="n">
        <f aca="false">$H$5</f>
        <v>46800</v>
      </c>
      <c r="E5" s="15" t="n">
        <f aca="false">$H$5</f>
        <v>46800</v>
      </c>
      <c r="F5" s="15" t="n">
        <f aca="false">$H$5</f>
        <v>46800</v>
      </c>
      <c r="G5" s="15" t="n">
        <f aca="false">$H$5</f>
        <v>46800</v>
      </c>
      <c r="H5" s="15" t="n">
        <f aca="false">12*(x_chg_dev*x_rate_DEV+x_chg_qa*x_rate_QA)</f>
        <v>46800</v>
      </c>
      <c r="I5" s="15" t="n">
        <f aca="false">SUM(B5:D5)</f>
        <v>140400</v>
      </c>
      <c r="J5" s="15" t="n">
        <f aca="false">SUM(E5:G5)</f>
        <v>140400</v>
      </c>
    </row>
    <row r="6" customFormat="false" ht="15" hidden="false" customHeight="false" outlineLevel="0" collapsed="false">
      <c r="A6" s="2" t="s">
        <v>320</v>
      </c>
      <c r="B6" s="15" t="n">
        <f aca="false">x_crisk_p*x_crisk_s*B3</f>
        <v>720</v>
      </c>
      <c r="C6" s="15" t="n">
        <f aca="false">x_crisk_p*x_crisk_s*C3</f>
        <v>864</v>
      </c>
      <c r="D6" s="15" t="n">
        <f aca="false">x_crisk_p*x_crisk_s*D3</f>
        <v>950.4</v>
      </c>
      <c r="E6" s="15" t="n">
        <f aca="false">x_arisk_p*(x_arisk_hw+x_arisk_d*x_rate_OPS/x_days_avg)</f>
        <v>780.459770114943</v>
      </c>
      <c r="F6" s="15" t="n">
        <f aca="false">x_arisk_p*(x_arisk_hw+x_arisk_d*x_rate_OPS/x_days_avg)</f>
        <v>780.459770114943</v>
      </c>
      <c r="G6" s="15" t="n">
        <f aca="false">x_arisk_p*(x_arisk_hw+x_arisk_d*x_rate_OPS/x_days_avg)</f>
        <v>780.459770114943</v>
      </c>
      <c r="H6" s="17"/>
      <c r="I6" s="15" t="n">
        <f aca="false">SUM(B6:D6)</f>
        <v>2534.4</v>
      </c>
      <c r="J6" s="15" t="n">
        <f aca="false">SUM(E6:G6)</f>
        <v>2341.37931034483</v>
      </c>
    </row>
    <row r="7" customFormat="false" ht="15" hidden="false" customHeight="false" outlineLevel="0" collapsed="false">
      <c r="A7" s="2" t="s">
        <v>321</v>
      </c>
      <c r="B7" s="15" t="n">
        <f aca="false">B5+B6</f>
        <v>47520</v>
      </c>
      <c r="C7" s="15" t="n">
        <f aca="false">C5+C6</f>
        <v>47664</v>
      </c>
      <c r="D7" s="15" t="n">
        <f aca="false">D5+D6</f>
        <v>47750.4</v>
      </c>
      <c r="E7" s="15" t="n">
        <f aca="false">E5+E6</f>
        <v>47580.4597701149</v>
      </c>
      <c r="F7" s="15" t="n">
        <f aca="false">F5+F6</f>
        <v>47580.4597701149</v>
      </c>
      <c r="G7" s="15" t="n">
        <f aca="false">G5+G6</f>
        <v>47580.4597701149</v>
      </c>
      <c r="H7" s="17"/>
      <c r="I7" s="15" t="n">
        <f aca="false">SUM(B7:D7)</f>
        <v>142934.4</v>
      </c>
      <c r="J7" s="15" t="n">
        <f aca="false">SUM(E7:G7)</f>
        <v>142741.379310345</v>
      </c>
    </row>
    <row r="8" customFormat="false" ht="15" hidden="false" customHeight="false" outlineLevel="0" collapsed="false">
      <c r="A8" s="2" t="s">
        <v>179</v>
      </c>
      <c r="B8" s="15" t="n">
        <v>0</v>
      </c>
      <c r="C8" s="15" t="n">
        <v>0</v>
      </c>
      <c r="D8" s="15" t="n">
        <f aca="false">x_ret_days*x_rate_OPS/x_days_avg</f>
        <v>2804.59770114943</v>
      </c>
      <c r="E8" s="15" t="n">
        <v>0</v>
      </c>
      <c r="F8" s="15" t="n">
        <v>0</v>
      </c>
      <c r="G8" s="15" t="n">
        <f aca="false">x_ret_days*x_rate_OPS/x_days_avg+x_ret_alt</f>
        <v>3504.59770114943</v>
      </c>
      <c r="H8" s="17"/>
      <c r="I8" s="15" t="n">
        <f aca="false">SUM(B8:D8)</f>
        <v>2804.59770114943</v>
      </c>
      <c r="J8" s="15" t="n">
        <f aca="false">SUM(E8:G8)</f>
        <v>3504.59770114943</v>
      </c>
    </row>
    <row r="9" customFormat="false" ht="15" hidden="false" customHeight="false" outlineLevel="0" collapsed="false">
      <c r="A9" s="2" t="s">
        <v>322</v>
      </c>
      <c r="B9" s="15" t="n">
        <f aca="false">B2+B3+B4+B7+B8</f>
        <v>237090.689655172</v>
      </c>
      <c r="C9" s="15" t="n">
        <f aca="false">C2+C3+C4+C7+C8</f>
        <v>94164</v>
      </c>
      <c r="D9" s="15" t="n">
        <f aca="false">D2+D3+D4+D7+D8</f>
        <v>98494.9977011494</v>
      </c>
      <c r="E9" s="15" t="n">
        <f aca="false">E2+E3+E4+E7+E8</f>
        <v>276151.149425287</v>
      </c>
      <c r="F9" s="15" t="n">
        <f aca="false">F2+F3+F4+F7+F8</f>
        <v>94680.459770115</v>
      </c>
      <c r="G9" s="15" t="n">
        <f aca="false">G2+G3+G4+G7+G8</f>
        <v>98185.0574712644</v>
      </c>
      <c r="H9" s="17"/>
      <c r="I9" s="15" t="n">
        <f aca="false">SUM(B9:D9)</f>
        <v>429749.687356322</v>
      </c>
      <c r="J9" s="15" t="n">
        <f aca="false">SUM(E9:G9)</f>
        <v>469016.666666667</v>
      </c>
    </row>
    <row r="10" customFormat="false" ht="15" hidden="false" customHeight="false" outlineLevel="0" collapsed="false">
      <c r="A10" s="2" t="s">
        <v>323</v>
      </c>
      <c r="B10" s="17"/>
      <c r="C10" s="17"/>
      <c r="D10" s="15" t="n">
        <f aca="false">SUM(B9:D9)</f>
        <v>429749.687356322</v>
      </c>
      <c r="E10" s="17"/>
      <c r="F10" s="17"/>
      <c r="G10" s="15" t="n">
        <f aca="false">SUM(E9:G9)</f>
        <v>469016.666666667</v>
      </c>
      <c r="H10" s="17"/>
      <c r="I10" s="15" t="n">
        <f aca="false">I9</f>
        <v>429749.687356322</v>
      </c>
      <c r="J10" s="15" t="n">
        <f aca="false">J9</f>
        <v>469016.666666667</v>
      </c>
    </row>
    <row r="11" customFormat="false" ht="15" hidden="false" customHeight="false" outlineLevel="0" collapsed="false">
      <c r="A11" s="2" t="s">
        <v>324</v>
      </c>
      <c r="B11" s="17"/>
      <c r="C11" s="17"/>
      <c r="D11" s="17"/>
      <c r="E11" s="17"/>
      <c r="F11" s="17"/>
      <c r="G11" s="17"/>
      <c r="H11" s="17"/>
      <c r="I11" s="17"/>
      <c r="J11" s="15" t="n">
        <f aca="false">J10-I10</f>
        <v>39266.9793103449</v>
      </c>
    </row>
    <row r="12" customFormat="false" ht="15" hidden="false" customHeight="false" outlineLevel="0" collapsed="false">
      <c r="A12" s="2" t="s">
        <v>325</v>
      </c>
      <c r="B12" s="17"/>
      <c r="C12" s="17"/>
      <c r="D12" s="15" t="n">
        <f aca="false">B9+C9/(1+x_disc)+D9/(1+x_disc)^2</f>
        <v>404095.150565213</v>
      </c>
      <c r="E12" s="17"/>
      <c r="F12" s="17"/>
      <c r="G12" s="15" t="n">
        <f aca="false">E9+F9/(1+x_disc)+G9/(1+x_disc)^2</f>
        <v>443368.970266933</v>
      </c>
      <c r="H12" s="17"/>
      <c r="I12" s="17"/>
      <c r="J12" s="17"/>
    </row>
    <row r="14" customFormat="false" ht="23.85" hidden="false" customHeight="false" outlineLevel="0" collapsed="false">
      <c r="A14" s="1" t="s">
        <v>326</v>
      </c>
      <c r="B14" s="1" t="s">
        <v>327</v>
      </c>
      <c r="C14" s="1" t="s">
        <v>328</v>
      </c>
      <c r="D14" s="1" t="s">
        <v>329</v>
      </c>
      <c r="E14" s="1" t="s">
        <v>330</v>
      </c>
      <c r="F14" s="1" t="s">
        <v>331</v>
      </c>
    </row>
    <row r="15" customFormat="false" ht="15" hidden="false" customHeight="false" outlineLevel="0" collapsed="false">
      <c r="A15" s="9" t="n">
        <v>0.8</v>
      </c>
      <c r="B15" s="15" t="n">
        <f aca="false">x_cloud_y1*A15</f>
        <v>9600</v>
      </c>
      <c r="C15" s="15" t="n">
        <f aca="false">x_tco_cloud+(A15-1)*(I3+I6)</f>
        <v>420794.807356322</v>
      </c>
      <c r="D15" s="15" t="n">
        <f aca="false">x_tco_alt</f>
        <v>469016.666666667</v>
      </c>
      <c r="E15" s="15" t="n">
        <f aca="false">D15-C15</f>
        <v>48221.8593103449</v>
      </c>
      <c r="F15" s="9" t="str">
        <f aca="false">IF(E15&gt;0,"cloud","альтернатива")</f>
        <v>cloud</v>
      </c>
    </row>
    <row r="16" customFormat="false" ht="15" hidden="false" customHeight="false" outlineLevel="0" collapsed="false">
      <c r="A16" s="9" t="n">
        <v>1</v>
      </c>
      <c r="B16" s="15" t="n">
        <f aca="false">x_cloud_y1*A16</f>
        <v>12000</v>
      </c>
      <c r="C16" s="15" t="n">
        <f aca="false">x_tco_cloud+(A16-1)*(I3+I6)</f>
        <v>429749.687356322</v>
      </c>
      <c r="D16" s="15" t="n">
        <f aca="false">x_tco_alt</f>
        <v>469016.666666667</v>
      </c>
      <c r="E16" s="15" t="n">
        <f aca="false">D16-C16</f>
        <v>39266.9793103449</v>
      </c>
      <c r="F16" s="9" t="str">
        <f aca="false">IF(E16&gt;0,"cloud","альтернатива")</f>
        <v>cloud</v>
      </c>
    </row>
    <row r="17" customFormat="false" ht="15" hidden="false" customHeight="false" outlineLevel="0" collapsed="false">
      <c r="A17" s="9" t="n">
        <v>1.2</v>
      </c>
      <c r="B17" s="15" t="n">
        <f aca="false">x_cloud_y1*A17</f>
        <v>14400</v>
      </c>
      <c r="C17" s="15" t="n">
        <f aca="false">x_tco_cloud+(A17-1)*(I3+I6)</f>
        <v>438704.567356322</v>
      </c>
      <c r="D17" s="15" t="n">
        <f aca="false">x_tco_alt</f>
        <v>469016.666666667</v>
      </c>
      <c r="E17" s="15" t="n">
        <f aca="false">D17-C17</f>
        <v>30312.0993103448</v>
      </c>
      <c r="F17" s="9" t="str">
        <f aca="false">IF(E17&gt;0,"cloud","альтернатива")</f>
        <v>cloud</v>
      </c>
    </row>
    <row r="18" customFormat="false" ht="15" hidden="false" customHeight="false" outlineLevel="0" collapsed="false">
      <c r="A18" s="2" t="s">
        <v>332</v>
      </c>
      <c r="B18" s="14" t="n">
        <f aca="false">(x_tco_alt-(x_tco_cloud-(I3+I6)))/(I3+I6)</f>
        <v>1.87699621458568</v>
      </c>
      <c r="C18" s="15" t="n">
        <f aca="false">x_cloud_y1*B18</f>
        <v>22523.9545750281</v>
      </c>
      <c r="D18" s="2"/>
      <c r="E18" s="2"/>
      <c r="F18" s="2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2026-10-05T20:31:58Z</dcterms:created>
  <dc:creator>openpyxl</dc:creator>
  <dc:description/>
  <dc:language>uk-UA</dc:language>
  <cp:lastModifiedBy/>
  <dcterms:modified xsi:type="dcterms:W3CDTF">2026-10-05T20:31:58Z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