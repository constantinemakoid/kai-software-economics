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и ЛР3" sheetId="1" state="visible" r:id="rId1"/>
    <sheet xmlns:r="http://schemas.openxmlformats.org/officeDocument/2006/relationships" name="Журнал припущень" sheetId="2" state="visible" r:id="rId2"/>
    <sheet xmlns:r="http://schemas.openxmlformats.org/officeDocument/2006/relationships" name="Ставки" sheetId="3" state="visible" r:id="rId3"/>
    <sheet xmlns:r="http://schemas.openxmlformats.org/officeDocument/2006/relationships" name="Календар і фази" sheetId="4" state="visible" r:id="rId4"/>
    <sheet xmlns:r="http://schemas.openxmlformats.org/officeDocument/2006/relationships" name="Labor" sheetId="5" state="visible" r:id="rId5"/>
    <sheet xmlns:r="http://schemas.openxmlformats.org/officeDocument/2006/relationships" name="Baseline MVP" sheetId="6" state="visible" r:id="rId6"/>
    <sheet xmlns:r="http://schemas.openxmlformats.org/officeDocument/2006/relationships" name="Cash burn" sheetId="7" state="visible" r:id="rId7"/>
    <sheet xmlns:r="http://schemas.openxmlformats.org/officeDocument/2006/relationships" name="TCO" sheetId="8" state="visible" r:id="rId8"/>
  </sheets>
  <definedNames>
    <definedName name="x_start">'Параметри ЛР3'!$C$2</definedName>
    <definedName name="x_bl_days">'Параметри ЛР3'!$C$3</definedName>
    <definedName name="x_ef11">'Параметри ЛР3'!$C$4</definedName>
    <definedName name="x_ef12">'Параметри ЛР3'!$C$5</definedName>
    <definedName name="x_fc">'Параметри ЛР3'!$C$6</definedName>
    <definedName name="x_mr_days">'Параметри ЛР3'!$C$7</definedName>
    <definedName name="x_rate_BA">'Параметри ЛР3'!$C$8</definedName>
    <definedName name="x_rate_UX">'Параметри ЛР3'!$C$9</definedName>
    <definedName name="x_rate_DEV">'Параметри ЛР3'!$C$10</definedName>
    <definedName name="x_rate_QA">'Параметри ЛР3'!$C$11</definedName>
    <definedName name="x_rate_OPS">'Параметри ЛР3'!$C$12</definedName>
    <definedName name="x_esv">'Параметри ЛР3'!$C$13</definedName>
    <definedName name="x_min_wage">'Параметри ЛР3'!$C$14</definedName>
    <definedName name="x_cap_mult">'Параметри ЛР3'!$C$15</definedName>
    <definedName name="x_fx">'Параметри ЛР3'!$C$16</definedName>
    <definedName name="x_benefits">'Параметри ЛР3'!$C$17</definedName>
    <definedName name="x_overhead">'Параметри ЛР3'!$C$18</definedName>
    <definedName name="x_days_avg">'Параметри ЛР3'!$C$19</definedName>
    <definedName name="x_r1_p">'Параметри ЛР3'!$C$20</definedName>
    <definedName name="x_r1_impact">'Параметри ЛР3'!$C$21</definedName>
    <definedName name="x_r1_month">'Параметри ЛР3'!$C$22</definedName>
    <definedName name="x_r2_p">'Параметри ЛР3'!$C$23</definedName>
    <definedName name="x_r2_days">'Параметри ЛР3'!$C$24</definedName>
    <definedName name="x_r2_turnover">'Параметри ЛР3'!$C$25</definedName>
    <definedName name="x_cloud_y1">'Параметри ЛР3'!$C$26</definedName>
    <definedName name="x_g2">'Параметри ЛР3'!$C$27</definedName>
    <definedName name="x_g3">'Параметри ЛР3'!$C$28</definedName>
    <definedName name="x_alt_start">'Параметри ЛР3'!$C$29</definedName>
    <definedName name="x_alt_op">'Параметри ЛР3'!$C$30</definedName>
    <definedName name="x_alt_month">'Параметри ЛР3'!$C$31</definedName>
    <definedName name="x_sup_ops">'Параметри ЛР3'!$C$32</definedName>
    <definedName name="x_sup_ba">'Параметри ЛР3'!$C$33</definedName>
    <definedName name="x_chg_dev">'Параметри ЛР3'!$C$34</definedName>
    <definedName name="x_chg_qa">'Параметри ЛР3'!$C$35</definedName>
    <definedName name="x_crisk_p">'Параметри ЛР3'!$C$36</definedName>
    <definedName name="x_crisk_s">'Параметри ЛР3'!$C$37</definedName>
    <definedName name="x_arisk_p">'Параметри ЛР3'!$C$38</definedName>
    <definedName name="x_arisk_hw">'Параметри ЛР3'!$C$39</definedName>
    <definedName name="x_arisk_d">'Параметри ЛР3'!$C$40</definedName>
    <definedName name="x_ret_days">'Параметри ЛР3'!$C$41</definedName>
    <definedName name="x_ret_alt">'Параметри ЛР3'!$C$42</definedName>
    <definedName name="x_disc">'Параметри ЛР3'!$C$43</definedName>
    <definedName name="x_holidays">'Параметри ЛР3'!$A$46:$A$47</definedName>
    <definedName name="x_ps_A">'Календар і фази'!$B$2</definedName>
    <definedName name="x_pe_A">'Календар і фази'!$C$2</definedName>
    <definedName name="x_pm_A">'Календар і фази'!$E$2</definedName>
    <definedName name="x_ps_D">'Календар і фази'!$B$3</definedName>
    <definedName name="x_pe_D">'Календар і фази'!$C$3</definedName>
    <definedName name="x_pm_D">'Календар і фази'!$E$3</definedName>
    <definedName name="x_ps_B">'Календар і фази'!$B$4</definedName>
    <definedName name="x_pe_B">'Календар і фази'!$C$4</definedName>
    <definedName name="x_pm_B">'Календар і фази'!$E$4</definedName>
    <definedName name="x_ps_T">'Календар і фази'!$B$5</definedName>
    <definedName name="x_pe_T">'Календар і фази'!$C$5</definedName>
    <definedName name="x_pm_T">'Календар і фази'!$E$5</definedName>
    <definedName name="x_months_total">'Календар і фази'!$E$6</definedName>
    <definedName name="x_labor">Labor!$L$7</definedName>
    <definedName name="x_team_month">Labor!$C$11</definedName>
    <definedName name="x_base">'Baseline MVP'!$B$26</definedName>
    <definedName name="x_cont">'Baseline MVP'!$B$27</definedName>
    <definedName name="x_cbl">'Baseline MVP'!$B$28</definedName>
    <definedName name="x_mr">'Baseline MVP'!$B$29</definedName>
    <definedName name="x_budget">'Baseline MVP'!$B$30</definedName>
    <definedName name="x_tco_cloud">TCO!$D$10</definedName>
    <definedName name="x_tco_alt">TCO!$G$10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#,##0.##"/>
    <numFmt numFmtId="166" formatCode="0.0000"/>
    <numFmt numFmtId="167" formatCode="DD.MM.YYYY"/>
    <numFmt numFmtId="168" formatCode="#,##0.0"/>
    <numFmt numFmtId="169" formatCode="0.0%"/>
    <numFmt numFmtId="170" formatCode="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left style="thin">
        <color rgb="009a9890"/>
      </left>
      <right style="thin">
        <color rgb="009a9890"/>
      </right>
      <top style="thin">
        <color rgb="009a9890"/>
      </top>
      <bottom style="thin">
        <color rgb="009a989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7" fontId="2" fillId="2" borderId="1" applyAlignment="1" pivotButton="0" quotePrefix="0" xfId="0">
      <alignment vertical="top" wrapText="1"/>
    </xf>
    <xf numFmtId="165" fontId="2" fillId="2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166" fontId="2" fillId="2" borderId="1" applyAlignment="1" pivotButton="0" quotePrefix="0" xfId="0">
      <alignment horizontal="right" vertical="top" wrapText="1"/>
    </xf>
    <xf numFmtId="168" fontId="2" fillId="0" borderId="1" applyAlignment="1" pivotButton="0" quotePrefix="0" xfId="0">
      <alignment horizontal="right" vertical="top" wrapText="1"/>
    </xf>
    <xf numFmtId="169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2" borderId="1" applyAlignment="1" pivotButton="0" quotePrefix="0" xfId="0">
      <alignment horizontal="right" vertical="top" wrapText="1"/>
    </xf>
    <xf numFmtId="170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9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2" customWidth="1" min="4" max="4"/>
    <col width="6" customWidth="1" min="5" max="5"/>
    <col width="48" customWidth="1" min="6" max="6"/>
  </cols>
  <sheetData>
    <row r="1">
      <c r="A1" s="1" t="inlineStr">
        <is>
          <t>Ім'я</t>
        </is>
      </c>
      <c r="B1" s="1" t="inlineStr">
        <is>
          <t>Показник</t>
        </is>
      </c>
      <c r="C1" s="1" t="inlineStr">
        <is>
          <t>Значення</t>
        </is>
      </c>
      <c r="D1" s="1" t="inlineStr">
        <is>
          <t>Одиниця</t>
        </is>
      </c>
      <c r="E1" s="1" t="inlineStr">
        <is>
          <t>Тип</t>
        </is>
      </c>
      <c r="F1" s="1" t="inlineStr">
        <is>
          <t>Пояснення</t>
        </is>
      </c>
    </row>
    <row r="2">
      <c r="A2" s="2" t="inlineStr">
        <is>
          <t>x_start</t>
        </is>
      </c>
      <c r="B2" s="2" t="inlineStr">
        <is>
          <t>Старт проєкту</t>
        </is>
      </c>
      <c r="C2" s="3" t="n">
        <v>46328</v>
      </c>
      <c r="D2" s="2" t="inlineStr">
        <is>
          <t>дата</t>
        </is>
      </c>
      <c r="E2" s="2" t="inlineStr">
        <is>
          <t>Д</t>
        </is>
      </c>
      <c r="F2" s="2" t="inlineStr">
        <is>
          <t>ЛР № 2</t>
        </is>
      </c>
    </row>
    <row r="3">
      <c r="A3" s="2" t="inlineStr">
        <is>
          <t>x_bl_days</t>
        </is>
      </c>
      <c r="B3" s="2" t="inlineStr">
        <is>
          <t>Baseline MVP</t>
        </is>
      </c>
      <c r="C3" s="4" t="n">
        <v>132</v>
      </c>
      <c r="D3" s="2" t="inlineStr">
        <is>
          <t>роб. днів</t>
        </is>
      </c>
      <c r="E3" s="2" t="inlineStr">
        <is>
          <t>Д</t>
        </is>
      </c>
      <c r="F3" s="2" t="inlineStr">
        <is>
          <t>ЛР № 2, P80 з contingency</t>
        </is>
      </c>
    </row>
    <row r="4">
      <c r="A4" s="2" t="inlineStr">
        <is>
          <t>x_ef11</t>
        </is>
      </c>
      <c r="B4" s="2" t="inlineStr">
        <is>
          <t>Кінець аналізу: EF пакета 1.1</t>
        </is>
      </c>
      <c r="C4" s="5" t="n">
        <v>8.333333333333334</v>
      </c>
      <c r="D4" s="2" t="inlineStr">
        <is>
          <t>роб. днів</t>
        </is>
      </c>
      <c r="E4" s="2" t="inlineStr">
        <is>
          <t>Р</t>
        </is>
      </c>
      <c r="F4" s="2" t="inlineStr">
        <is>
          <t>ЛР № 2, CPM</t>
        </is>
      </c>
    </row>
    <row r="5">
      <c r="A5" s="2" t="inlineStr">
        <is>
          <t>x_ef12</t>
        </is>
      </c>
      <c r="B5" s="2" t="inlineStr">
        <is>
          <t>Кінець проєктування: EF пакета 1.2</t>
        </is>
      </c>
      <c r="C5" s="5" t="n">
        <v>21.66666666666667</v>
      </c>
      <c r="D5" s="2" t="inlineStr">
        <is>
          <t>роб. днів</t>
        </is>
      </c>
      <c r="E5" s="2" t="inlineStr">
        <is>
          <t>Р</t>
        </is>
      </c>
      <c r="F5" s="2" t="inlineStr">
        <is>
          <t>ЛР № 2, CPM</t>
        </is>
      </c>
    </row>
    <row r="6">
      <c r="A6" s="2" t="inlineStr">
        <is>
          <t>x_fc</t>
        </is>
      </c>
      <c r="B6" s="2" t="inlineStr">
        <is>
          <t>Feature complete</t>
        </is>
      </c>
      <c r="C6" s="5" t="n">
        <v>98.16666666666666</v>
      </c>
      <c r="D6" s="2" t="inlineStr">
        <is>
          <t>роб. днів</t>
        </is>
      </c>
      <c r="E6" s="2" t="inlineStr">
        <is>
          <t>Р</t>
        </is>
      </c>
      <c r="F6" s="2" t="inlineStr">
        <is>
          <t>ЛР № 2, віха</t>
        </is>
      </c>
    </row>
    <row r="7">
      <c r="A7" s="2" t="inlineStr">
        <is>
          <t>x_mr_days</t>
        </is>
      </c>
      <c r="B7" s="2" t="inlineStr">
        <is>
          <t>Management reserve за строком</t>
        </is>
      </c>
      <c r="C7" s="4" t="n">
        <v>15</v>
      </c>
      <c r="D7" s="2" t="inlineStr">
        <is>
          <t>роб. днів</t>
        </is>
      </c>
      <c r="E7" s="2" t="inlineStr">
        <is>
          <t>Д</t>
        </is>
      </c>
      <c r="F7" s="2" t="inlineStr">
        <is>
          <t>ЛР № 2</t>
        </is>
      </c>
    </row>
    <row r="8">
      <c r="A8" s="2" t="inlineStr">
        <is>
          <t>x_rate_BA</t>
        </is>
      </c>
      <c r="B8" s="2" t="inlineStr">
        <is>
          <t>Loaded rate BA/PM</t>
        </is>
      </c>
      <c r="C8" s="4" t="n">
        <v>4600</v>
      </c>
      <c r="D8" s="2" t="inlineStr">
        <is>
          <t>EUR/міс.</t>
        </is>
      </c>
      <c r="E8" s="2" t="inlineStr">
        <is>
          <t>Д</t>
        </is>
      </c>
      <c r="F8" s="2" t="inlineStr">
        <is>
          <t>набір B</t>
        </is>
      </c>
    </row>
    <row r="9">
      <c r="A9" s="2" t="inlineStr">
        <is>
          <t>x_rate_UX</t>
        </is>
      </c>
      <c r="B9" s="2" t="inlineStr">
        <is>
          <t>Loaded rate UX</t>
        </is>
      </c>
      <c r="C9" s="4" t="n">
        <v>4300</v>
      </c>
      <c r="D9" s="2" t="inlineStr">
        <is>
          <t>EUR/міс.</t>
        </is>
      </c>
      <c r="E9" s="2" t="inlineStr">
        <is>
          <t>Д</t>
        </is>
      </c>
      <c r="F9" s="2" t="inlineStr">
        <is>
          <t>набір B</t>
        </is>
      </c>
    </row>
    <row r="10">
      <c r="A10" s="2" t="inlineStr">
        <is>
          <t>x_rate_DEV</t>
        </is>
      </c>
      <c r="B10" s="2" t="inlineStr">
        <is>
          <t>Loaded rate Developer</t>
        </is>
      </c>
      <c r="C10" s="4" t="n">
        <v>5700</v>
      </c>
      <c r="D10" s="2" t="inlineStr">
        <is>
          <t>EUR/міс.</t>
        </is>
      </c>
      <c r="E10" s="2" t="inlineStr">
        <is>
          <t>Д</t>
        </is>
      </c>
      <c r="F10" s="2" t="inlineStr">
        <is>
          <t>набір B</t>
        </is>
      </c>
    </row>
    <row r="11">
      <c r="A11" s="2" t="inlineStr">
        <is>
          <t>x_rate_QA</t>
        </is>
      </c>
      <c r="B11" s="2" t="inlineStr">
        <is>
          <t>Loaded rate QA</t>
        </is>
      </c>
      <c r="C11" s="4" t="n">
        <v>4200</v>
      </c>
      <c r="D11" s="2" t="inlineStr">
        <is>
          <t>EUR/міс.</t>
        </is>
      </c>
      <c r="E11" s="2" t="inlineStr">
        <is>
          <t>Д</t>
        </is>
      </c>
      <c r="F11" s="2" t="inlineStr">
        <is>
          <t>набір B</t>
        </is>
      </c>
    </row>
    <row r="12">
      <c r="A12" s="2" t="inlineStr">
        <is>
          <t>x_rate_OPS</t>
        </is>
      </c>
      <c r="B12" s="2" t="inlineStr">
        <is>
          <t>Loaded rate DevOps</t>
        </is>
      </c>
      <c r="C12" s="4" t="n">
        <v>6100</v>
      </c>
      <c r="D12" s="2" t="inlineStr">
        <is>
          <t>EUR/міс.</t>
        </is>
      </c>
      <c r="E12" s="2" t="inlineStr">
        <is>
          <t>Д</t>
        </is>
      </c>
      <c r="F12" s="2" t="inlineStr">
        <is>
          <t>набір B</t>
        </is>
      </c>
    </row>
    <row r="13">
      <c r="A13" s="2" t="inlineStr">
        <is>
          <t>x_esv</t>
        </is>
      </c>
      <c r="B13" s="2" t="inlineStr">
        <is>
          <t>Ставка ЄСВ роботодавця</t>
        </is>
      </c>
      <c r="C13" s="6" t="n">
        <v>0.22</v>
      </c>
      <c r="D13" s="2" t="inlineStr">
        <is>
          <t>частка</t>
        </is>
      </c>
      <c r="E13" s="2" t="inlineStr">
        <is>
          <t>Д</t>
        </is>
      </c>
      <c r="F13" s="2" t="inlineStr">
        <is>
          <t>закон про ЄСВ</t>
        </is>
      </c>
    </row>
    <row r="14">
      <c r="A14" s="2" t="inlineStr">
        <is>
          <t>x_min_wage</t>
        </is>
      </c>
      <c r="B14" s="2" t="inlineStr">
        <is>
          <t>Мінімальна зарплата 2026</t>
        </is>
      </c>
      <c r="C14" s="4" t="n">
        <v>8647</v>
      </c>
      <c r="D14" s="2" t="inlineStr">
        <is>
          <t>UAH</t>
        </is>
      </c>
      <c r="E14" s="2" t="inlineStr">
        <is>
          <t>Д</t>
        </is>
      </c>
      <c r="F14" s="2" t="inlineStr">
        <is>
          <t>закон про бюджет 2026</t>
        </is>
      </c>
    </row>
    <row r="15">
      <c r="A15" s="2" t="inlineStr">
        <is>
          <t>x_cap_mult</t>
        </is>
      </c>
      <c r="B15" s="2" t="inlineStr">
        <is>
          <t>Максимальна база ЄСВ</t>
        </is>
      </c>
      <c r="C15" s="4" t="n">
        <v>20</v>
      </c>
      <c r="D15" s="2" t="inlineStr">
        <is>
          <t>мін. зарплат</t>
        </is>
      </c>
      <c r="E15" s="2" t="inlineStr">
        <is>
          <t>Д</t>
        </is>
      </c>
      <c r="F15" s="2" t="inlineStr">
        <is>
          <t>закон про ЄСВ</t>
        </is>
      </c>
    </row>
    <row r="16">
      <c r="A16" s="2" t="inlineStr">
        <is>
          <t>x_fx</t>
        </is>
      </c>
      <c r="B16" s="2" t="inlineStr">
        <is>
          <t>Курс</t>
        </is>
      </c>
      <c r="C16" s="4" t="n">
        <v>48</v>
      </c>
      <c r="D16" s="2" t="inlineStr">
        <is>
          <t>UAH/EUR</t>
        </is>
      </c>
      <c r="E16" s="2" t="inlineStr">
        <is>
          <t>П</t>
        </is>
      </c>
      <c r="F16" s="2" t="inlineStr">
        <is>
          <t>лише для межі бази ЄСВ</t>
        </is>
      </c>
    </row>
    <row r="17">
      <c r="A17" s="2" t="inlineStr">
        <is>
          <t>x_benefits</t>
        </is>
      </c>
      <c r="B17" s="2" t="inlineStr">
        <is>
          <t>Бенефіти на FTE</t>
        </is>
      </c>
      <c r="C17" s="4" t="n">
        <v>80</v>
      </c>
      <c r="D17" s="2" t="inlineStr">
        <is>
          <t>EUR/міс.</t>
        </is>
      </c>
      <c r="E17" s="2" t="inlineStr">
        <is>
          <t>П</t>
        </is>
      </c>
      <c r="F17" s="2" t="inlineStr">
        <is>
          <t>медичне страхування 50, навчання 30</t>
        </is>
      </c>
    </row>
    <row r="18">
      <c r="A18" s="2" t="inlineStr">
        <is>
          <t>x_overhead</t>
        </is>
      </c>
      <c r="B18" s="2" t="inlineStr">
        <is>
          <t>Накладні на FTE</t>
        </is>
      </c>
      <c r="C18" s="4" t="n">
        <v>650</v>
      </c>
      <c r="D18" s="2" t="inlineStr">
        <is>
          <t>EUR/міс.</t>
        </is>
      </c>
      <c r="E18" s="2" t="inlineStr">
        <is>
          <t>П</t>
        </is>
      </c>
      <c r="F18" s="2" t="inlineStr">
        <is>
          <t>робоче місце 250, ноутбук 100, бухгалтерія і HR 200, офісне ПЗ 100</t>
        </is>
      </c>
    </row>
    <row r="19">
      <c r="A19" s="2" t="inlineStr">
        <is>
          <t>x_days_avg</t>
        </is>
      </c>
      <c r="B19" s="2" t="inlineStr">
        <is>
          <t>Робочих днів у середньому місяці</t>
        </is>
      </c>
      <c r="C19" s="5" t="n">
        <v>21.75</v>
      </c>
      <c r="D19" s="2" t="inlineStr">
        <is>
          <t>днів</t>
        </is>
      </c>
      <c r="E19" s="2" t="inlineStr">
        <is>
          <t>Р</t>
        </is>
      </c>
      <c r="F19" s="2" t="inlineStr">
        <is>
          <t>261 / 12</t>
        </is>
      </c>
    </row>
    <row r="20">
      <c r="A20" s="2" t="inlineStr">
        <is>
          <t>x_r1_p</t>
        </is>
      </c>
      <c r="B20" s="2" t="inlineStr">
        <is>
          <t>R1: імовірність</t>
        </is>
      </c>
      <c r="C20" s="6" t="n">
        <v>0.4</v>
      </c>
      <c r="D20" s="2" t="inlineStr">
        <is>
          <t>частка</t>
        </is>
      </c>
      <c r="E20" s="2" t="inlineStr">
        <is>
          <t>Д</t>
        </is>
      </c>
      <c r="F20" s="2" t="inlineStr">
        <is>
          <t>варіант 14</t>
        </is>
      </c>
    </row>
    <row r="21">
      <c r="A21" s="2" t="inlineStr">
        <is>
          <t>x_r1_impact</t>
        </is>
      </c>
      <c r="B21" s="2" t="inlineStr">
        <is>
          <t>R1: фінансовий вплив</t>
        </is>
      </c>
      <c r="C21" s="4" t="n">
        <v>16000</v>
      </c>
      <c r="D21" s="2" t="inlineStr">
        <is>
          <t>EUR</t>
        </is>
      </c>
      <c r="E21" s="2" t="inlineStr">
        <is>
          <t>Д</t>
        </is>
      </c>
      <c r="F21" s="2" t="inlineStr">
        <is>
          <t>варіант 14, 16 тис.</t>
        </is>
      </c>
    </row>
    <row r="22">
      <c r="A22" s="2" t="inlineStr">
        <is>
          <t>x_r1_month</t>
        </is>
      </c>
      <c r="B22" s="2" t="inlineStr">
        <is>
          <t>R1: місяць запланованої реакції</t>
        </is>
      </c>
      <c r="C22" s="4" t="n">
        <v>5</v>
      </c>
      <c r="D22" s="2" t="inlineStr">
        <is>
          <t>M</t>
        </is>
      </c>
      <c r="E22" s="2" t="inlineStr">
        <is>
          <t>П</t>
        </is>
      </c>
      <c r="F22" s="2" t="inlineStr">
        <is>
          <t>після F3 на тест-стенді</t>
        </is>
      </c>
    </row>
    <row r="23">
      <c r="A23" s="2" t="inlineStr">
        <is>
          <t>x_r2_p</t>
        </is>
      </c>
      <c r="B23" s="2" t="inlineStr">
        <is>
          <t>R2: імовірність</t>
        </is>
      </c>
      <c r="C23" s="6" t="n">
        <v>0.25</v>
      </c>
      <c r="D23" s="2" t="inlineStr">
        <is>
          <t>частка</t>
        </is>
      </c>
      <c r="E23" s="2" t="inlineStr">
        <is>
          <t>П</t>
        </is>
      </c>
      <c r="F23" s="2" t="inlineStr">
        <is>
          <t>розрахунок через плинність</t>
        </is>
      </c>
    </row>
    <row r="24">
      <c r="A24" s="2" t="inlineStr">
        <is>
          <t>x_r2_days</t>
        </is>
      </c>
      <c r="B24" s="2" t="inlineStr">
        <is>
          <t>R2: зсув фінішу</t>
        </is>
      </c>
      <c r="C24" s="4" t="n">
        <v>10</v>
      </c>
      <c r="D24" s="2" t="inlineStr">
        <is>
          <t>роб. днів</t>
        </is>
      </c>
      <c r="E24" s="2" t="inlineStr">
        <is>
          <t>П</t>
        </is>
      </c>
      <c r="F24" s="2" t="inlineStr">
        <is>
          <t>передача знань і онбординг</t>
        </is>
      </c>
    </row>
    <row r="25">
      <c r="A25" s="2" t="inlineStr">
        <is>
          <t>x_r2_turnover</t>
        </is>
      </c>
      <c r="B25" s="2" t="inlineStr">
        <is>
          <t>Річна плинність розробників</t>
        </is>
      </c>
      <c r="C25" s="6" t="n">
        <v>0.25</v>
      </c>
      <c r="D25" s="2" t="inlineStr">
        <is>
          <t>частка</t>
        </is>
      </c>
      <c r="E25" s="2" t="inlineStr">
        <is>
          <t>П</t>
        </is>
      </c>
      <c r="F25" s="2" t="inlineStr"/>
    </row>
    <row r="26">
      <c r="A26" s="2" t="inlineStr">
        <is>
          <t>x_cloud_y1</t>
        </is>
      </c>
      <c r="B26" s="2" t="inlineStr">
        <is>
          <t>Cloud production Y1</t>
        </is>
      </c>
      <c r="C26" s="4" t="n">
        <v>12000</v>
      </c>
      <c r="D26" s="2" t="inlineStr">
        <is>
          <t>EUR/рік</t>
        </is>
      </c>
      <c r="E26" s="2" t="inlineStr">
        <is>
          <t>Д</t>
        </is>
      </c>
      <c r="F26" s="2" t="inlineStr">
        <is>
          <t>варіант 14</t>
        </is>
      </c>
    </row>
    <row r="27">
      <c r="A27" s="2" t="inlineStr">
        <is>
          <t>x_g2</t>
        </is>
      </c>
      <c r="B27" s="2" t="inlineStr">
        <is>
          <t>Growth Y2</t>
        </is>
      </c>
      <c r="C27" s="6" t="n">
        <v>0.2</v>
      </c>
      <c r="D27" s="2" t="inlineStr">
        <is>
          <t>частка</t>
        </is>
      </c>
      <c r="E27" s="2" t="inlineStr">
        <is>
          <t>Д</t>
        </is>
      </c>
      <c r="F27" s="2" t="inlineStr">
        <is>
          <t>варіант 14</t>
        </is>
      </c>
    </row>
    <row r="28">
      <c r="A28" s="2" t="inlineStr">
        <is>
          <t>x_g3</t>
        </is>
      </c>
      <c r="B28" s="2" t="inlineStr">
        <is>
          <t>Growth Y3</t>
        </is>
      </c>
      <c r="C28" s="6" t="n">
        <v>0.1</v>
      </c>
      <c r="D28" s="2" t="inlineStr">
        <is>
          <t>частка</t>
        </is>
      </c>
      <c r="E28" s="2" t="inlineStr">
        <is>
          <t>Д</t>
        </is>
      </c>
      <c r="F28" s="2" t="inlineStr">
        <is>
          <t>варіант 14</t>
        </is>
      </c>
    </row>
    <row r="29">
      <c r="A29" s="2" t="inlineStr">
        <is>
          <t>x_alt_start</t>
        </is>
      </c>
      <c r="B29" s="2" t="inlineStr">
        <is>
          <t>Альтернатива: start</t>
        </is>
      </c>
      <c r="C29" s="4" t="n">
        <v>36000</v>
      </c>
      <c r="D29" s="2" t="inlineStr">
        <is>
          <t>EUR</t>
        </is>
      </c>
      <c r="E29" s="2" t="inlineStr">
        <is>
          <t>Д</t>
        </is>
      </c>
      <c r="F29" s="2" t="inlineStr">
        <is>
          <t>варіант 14</t>
        </is>
      </c>
    </row>
    <row r="30">
      <c r="A30" s="2" t="inlineStr">
        <is>
          <t>x_alt_op</t>
        </is>
      </c>
      <c r="B30" s="2" t="inlineStr">
        <is>
          <t>Альтернатива: op</t>
        </is>
      </c>
      <c r="C30" s="4" t="n">
        <v>15000</v>
      </c>
      <c r="D30" s="2" t="inlineStr">
        <is>
          <t>EUR/рік</t>
        </is>
      </c>
      <c r="E30" s="2" t="inlineStr">
        <is>
          <t>Д</t>
        </is>
      </c>
      <c r="F30" s="2" t="inlineStr">
        <is>
          <t>варіант 14</t>
        </is>
      </c>
    </row>
    <row r="31">
      <c r="A31" s="2" t="inlineStr">
        <is>
          <t>x_alt_month</t>
        </is>
      </c>
      <c r="B31" s="2" t="inlineStr">
        <is>
          <t>Місяць start-up альтернативи</t>
        </is>
      </c>
      <c r="C31" s="4" t="n">
        <v>6</v>
      </c>
      <c r="D31" s="2" t="inlineStr">
        <is>
          <t>M</t>
        </is>
      </c>
      <c r="E31" s="2" t="inlineStr">
        <is>
          <t>П</t>
        </is>
      </c>
      <c r="F31" s="2" t="inlineStr">
        <is>
          <t>до релізу</t>
        </is>
      </c>
    </row>
    <row r="32">
      <c r="A32" s="2" t="inlineStr">
        <is>
          <t>x_sup_ops</t>
        </is>
      </c>
      <c r="B32" s="2" t="inlineStr">
        <is>
          <t>Support: FTE DevOps</t>
        </is>
      </c>
      <c r="C32" s="6" t="n">
        <v>0.25</v>
      </c>
      <c r="D32" s="2" t="inlineStr">
        <is>
          <t>FTE</t>
        </is>
      </c>
      <c r="E32" s="2" t="inlineStr">
        <is>
          <t>П</t>
        </is>
      </c>
      <c r="F32" s="2" t="inlineStr"/>
    </row>
    <row r="33">
      <c r="A33" s="2" t="inlineStr">
        <is>
          <t>x_sup_ba</t>
        </is>
      </c>
      <c r="B33" s="2" t="inlineStr">
        <is>
          <t>Support: FTE BA/PM</t>
        </is>
      </c>
      <c r="C33" s="6" t="n">
        <v>0.25</v>
      </c>
      <c r="D33" s="2" t="inlineStr">
        <is>
          <t>FTE</t>
        </is>
      </c>
      <c r="E33" s="2" t="inlineStr">
        <is>
          <t>П</t>
        </is>
      </c>
      <c r="F33" s="2" t="inlineStr"/>
    </row>
    <row r="34">
      <c r="A34" s="2" t="inlineStr">
        <is>
          <t>x_chg_dev</t>
        </is>
      </c>
      <c r="B34" s="2" t="inlineStr">
        <is>
          <t>Change: FTE Developer</t>
        </is>
      </c>
      <c r="C34" s="6" t="n">
        <v>0.5</v>
      </c>
      <c r="D34" s="2" t="inlineStr">
        <is>
          <t>FTE</t>
        </is>
      </c>
      <c r="E34" s="2" t="inlineStr">
        <is>
          <t>П</t>
        </is>
      </c>
      <c r="F34" s="2" t="inlineStr"/>
    </row>
    <row r="35">
      <c r="A35" s="2" t="inlineStr">
        <is>
          <t>x_chg_qa</t>
        </is>
      </c>
      <c r="B35" s="2" t="inlineStr">
        <is>
          <t>Change: FTE QA</t>
        </is>
      </c>
      <c r="C35" s="6" t="n">
        <v>0.25</v>
      </c>
      <c r="D35" s="2" t="inlineStr">
        <is>
          <t>FTE</t>
        </is>
      </c>
      <c r="E35" s="2" t="inlineStr">
        <is>
          <t>П</t>
        </is>
      </c>
      <c r="F35" s="2" t="inlineStr"/>
    </row>
    <row r="36">
      <c r="A36" s="2" t="inlineStr">
        <is>
          <t>x_crisk_p</t>
        </is>
      </c>
      <c r="B36" s="2" t="inlineStr">
        <is>
          <t>Cloud risk: імовірність на рік</t>
        </is>
      </c>
      <c r="C36" s="6" t="n">
        <v>0.3</v>
      </c>
      <c r="D36" s="2" t="inlineStr">
        <is>
          <t>частка</t>
        </is>
      </c>
      <c r="E36" s="2" t="inlineStr">
        <is>
          <t>П</t>
        </is>
      </c>
      <c r="F36" s="2" t="inlineStr"/>
    </row>
    <row r="37">
      <c r="A37" s="2" t="inlineStr">
        <is>
          <t>x_crisk_s</t>
        </is>
      </c>
      <c r="B37" s="2" t="inlineStr">
        <is>
          <t>Cloud risk: перевищення</t>
        </is>
      </c>
      <c r="C37" s="6" t="n">
        <v>0.2</v>
      </c>
      <c r="D37" s="2" t="inlineStr">
        <is>
          <t>частка cloud</t>
        </is>
      </c>
      <c r="E37" s="2" t="inlineStr">
        <is>
          <t>П</t>
        </is>
      </c>
      <c r="F37" s="2" t="inlineStr"/>
    </row>
    <row r="38">
      <c r="A38" s="2" t="inlineStr">
        <is>
          <t>x_arisk_p</t>
        </is>
      </c>
      <c r="B38" s="2" t="inlineStr">
        <is>
          <t>Alt risk: імовірність на рік</t>
        </is>
      </c>
      <c r="C38" s="6" t="n">
        <v>0.1</v>
      </c>
      <c r="D38" s="2" t="inlineStr">
        <is>
          <t>частка</t>
        </is>
      </c>
      <c r="E38" s="2" t="inlineStr">
        <is>
          <t>П</t>
        </is>
      </c>
      <c r="F38" s="2" t="inlineStr"/>
    </row>
    <row r="39">
      <c r="A39" s="2" t="inlineStr">
        <is>
          <t>x_arisk_hw</t>
        </is>
      </c>
      <c r="B39" s="2" t="inlineStr">
        <is>
          <t>Alt risk: заміна вузла</t>
        </is>
      </c>
      <c r="C39" s="4" t="n">
        <v>5000</v>
      </c>
      <c r="D39" s="2" t="inlineStr">
        <is>
          <t>EUR</t>
        </is>
      </c>
      <c r="E39" s="2" t="inlineStr">
        <is>
          <t>П</t>
        </is>
      </c>
      <c r="F39" s="2" t="inlineStr"/>
    </row>
    <row r="40">
      <c r="A40" s="2" t="inlineStr">
        <is>
          <t>x_arisk_d</t>
        </is>
      </c>
      <c r="B40" s="2" t="inlineStr">
        <is>
          <t>Alt risk: днів DevOps</t>
        </is>
      </c>
      <c r="C40" s="4" t="n">
        <v>10</v>
      </c>
      <c r="D40" s="2" t="inlineStr">
        <is>
          <t>днів</t>
        </is>
      </c>
      <c r="E40" s="2" t="inlineStr">
        <is>
          <t>П</t>
        </is>
      </c>
      <c r="F40" s="2" t="inlineStr"/>
    </row>
    <row r="41">
      <c r="A41" s="2" t="inlineStr">
        <is>
          <t>x_ret_days</t>
        </is>
      </c>
      <c r="B41" s="2" t="inlineStr">
        <is>
          <t>Retirement: днів DevOps</t>
        </is>
      </c>
      <c r="C41" s="4" t="n">
        <v>10</v>
      </c>
      <c r="D41" s="2" t="inlineStr">
        <is>
          <t>днів</t>
        </is>
      </c>
      <c r="E41" s="2" t="inlineStr">
        <is>
          <t>П</t>
        </is>
      </c>
      <c r="F41" s="2" t="inlineStr"/>
    </row>
    <row r="42">
      <c r="A42" s="2" t="inlineStr">
        <is>
          <t>x_ret_alt</t>
        </is>
      </c>
      <c r="B42" s="2" t="inlineStr">
        <is>
          <t>Retirement альтернативи: демонтаж</t>
        </is>
      </c>
      <c r="C42" s="4" t="n">
        <v>700</v>
      </c>
      <c r="D42" s="2" t="inlineStr">
        <is>
          <t>EUR</t>
        </is>
      </c>
      <c r="E42" s="2" t="inlineStr">
        <is>
          <t>П</t>
        </is>
      </c>
      <c r="F42" s="2" t="inlineStr"/>
    </row>
    <row r="43">
      <c r="A43" s="2" t="inlineStr">
        <is>
          <t>x_disc</t>
        </is>
      </c>
      <c r="B43" s="2" t="inlineStr">
        <is>
          <t>Ставка дисконтування</t>
        </is>
      </c>
      <c r="C43" s="6" t="n">
        <v>0.1</v>
      </c>
      <c r="D43" s="2" t="inlineStr">
        <is>
          <t>частка</t>
        </is>
      </c>
      <c r="E43" s="2" t="inlineStr">
        <is>
          <t>П</t>
        </is>
      </c>
      <c r="F43" s="2" t="inlineStr">
        <is>
          <t>довідково</t>
        </is>
      </c>
    </row>
    <row r="45">
      <c r="A45" s="1" t="inlineStr">
        <is>
          <t>Неробочі дні</t>
        </is>
      </c>
    </row>
    <row r="46">
      <c r="A46" s="3" t="n">
        <v>46387</v>
      </c>
    </row>
    <row r="47">
      <c r="A47" s="3" t="n">
        <v>46388</v>
      </c>
    </row>
  </sheetData>
  <pageMargins left="0.3" right="0.3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60" customWidth="1" min="3" max="3"/>
    <col width="6" customWidth="1" min="4" max="4"/>
    <col width="44" customWidth="1" min="5" max="5"/>
  </cols>
  <sheetData>
    <row r="1">
      <c r="A1" s="1" t="inlineStr">
        <is>
          <t>ID</t>
        </is>
      </c>
      <c r="B1" s="1" t="inlineStr">
        <is>
          <t>Припущення</t>
        </is>
      </c>
      <c r="C1" s="1" t="inlineStr">
        <is>
          <t>Значення</t>
        </is>
      </c>
      <c r="D1" s="1" t="inlineStr">
        <is>
          <t>Тип</t>
        </is>
      </c>
      <c r="E1" s="1" t="inlineStr">
        <is>
          <t>Підстава або джерело</t>
        </is>
      </c>
    </row>
    <row r="2">
      <c r="A2" s="2" t="inlineStr">
        <is>
          <t>A1</t>
        </is>
      </c>
      <c r="B2" s="2" t="inlineStr">
        <is>
          <t>Ставки ролей</t>
        </is>
      </c>
      <c r="C2" s="2" t="inlineStr">
        <is>
          <t>набір B: BA/PM 4 600, UX 4 300, Developer 5 700, QA 4 200, DevOps 6 100 EUR/міс.</t>
        </is>
      </c>
      <c r="D2" s="2" t="inlineStr">
        <is>
          <t>Д</t>
        </is>
      </c>
      <c r="E2" s="2" t="inlineStr">
        <is>
          <t>рядок варіанта 14, набір B</t>
        </is>
      </c>
    </row>
    <row r="3">
      <c r="A3" s="2" t="inlineStr">
        <is>
          <t>A2</t>
        </is>
      </c>
      <c r="B3" s="2" t="inlineStr">
        <is>
          <t>Склад loaded rate</t>
        </is>
      </c>
      <c r="C3" s="2" t="inlineStr">
        <is>
          <t>оклад + ЄСВ 22% (база не більше 20 мінімальних зарплат) + бенефіти 80 + накладні 650 EUR/міс. на FTE</t>
        </is>
      </c>
      <c r="D3" s="2" t="inlineStr">
        <is>
          <t>П</t>
        </is>
      </c>
      <c r="E3" s="2" t="inlineStr">
        <is>
          <t>штатна модель; накладні включають робоче місце, ноутбук, бухгалтерію, офісне ПЗ</t>
        </is>
      </c>
    </row>
    <row r="4">
      <c r="A4" s="2" t="inlineStr">
        <is>
          <t>A3</t>
        </is>
      </c>
      <c r="B4" s="2" t="inlineStr">
        <is>
          <t>Курс для бази ЄСВ</t>
        </is>
      </c>
      <c r="C4" s="2" t="inlineStr">
        <is>
          <t>48 UAH за 1 EUR</t>
        </is>
      </c>
      <c r="D4" s="2" t="inlineStr">
        <is>
          <t>П</t>
        </is>
      </c>
      <c r="E4" s="2" t="inlineStr">
        <is>
          <t>лише для межі бази ЄСВ; модель у EUR</t>
        </is>
      </c>
    </row>
    <row r="5">
      <c r="A5" s="2" t="inlineStr">
        <is>
          <t>A4</t>
        </is>
      </c>
      <c r="B5" s="2" t="inlineStr">
        <is>
          <t>Тривалість MVP</t>
        </is>
      </c>
      <c r="C5" s="2" t="inlineStr">
        <is>
          <t>132 роб. дні (baseline ЛР № 2), 02.11.2026...06.05.2027</t>
        </is>
      </c>
      <c r="D5" s="2" t="inlineStr">
        <is>
          <t>Д</t>
        </is>
      </c>
      <c r="E5" s="2" t="inlineStr">
        <is>
          <t>ЛР № 2, P80 з contingency</t>
        </is>
      </c>
    </row>
    <row r="6">
      <c r="A6" s="2" t="inlineStr">
        <is>
          <t>A5</t>
        </is>
      </c>
      <c r="B6" s="2" t="inlineStr">
        <is>
          <t>Межі фаз</t>
        </is>
      </c>
      <c r="C6" s="2" t="inlineStr">
        <is>
          <t>аналіз 0...8,33; проєктування 8,33...21,67; розроблення 21,67...98,17; тестування і реліз 98,17...132 роб. дня</t>
        </is>
      </c>
      <c r="D6" s="2" t="inlineStr">
        <is>
          <t>Р</t>
        </is>
      </c>
      <c r="E6" s="2" t="inlineStr">
        <is>
          <t>EF пакетів 1.1, 1.2, віха Feature complete, baseline</t>
        </is>
      </c>
    </row>
    <row r="7">
      <c r="A7" s="2" t="inlineStr">
        <is>
          <t>A6</t>
        </is>
      </c>
      <c r="B7" s="2" t="inlineStr">
        <is>
          <t>FTE ролей за фазами</t>
        </is>
      </c>
      <c r="C7" s="2" t="inlineStr">
        <is>
          <t>розробники 2,0 у всіх фазах; BA/PM, QA, DevOps від 0,25 до 0,75 за піковим тижневим навантаженням WBS</t>
        </is>
      </c>
      <c r="D7" s="2" t="inlineStr">
        <is>
          <t>П</t>
        </is>
      </c>
      <c r="E7" s="2" t="inlineStr">
        <is>
          <t>округлення вгору до 0,25, не більше FTE ЛР № 2</t>
        </is>
      </c>
    </row>
    <row r="8">
      <c r="A8" s="2" t="inlineStr">
        <is>
          <t>A7</t>
        </is>
      </c>
      <c r="B8" s="2" t="inlineStr">
        <is>
          <t>Прямі витрати MVP</t>
        </is>
      </c>
      <c r="C8" s="2" t="inlineStr">
        <is>
          <t>обладнання 4 000, ліцензії 7 000, cloud розроблення 4 000 EUR</t>
        </is>
      </c>
      <c r="D8" s="2" t="inlineStr">
        <is>
          <t>Д</t>
        </is>
      </c>
      <c r="E8" s="2" t="inlineStr">
        <is>
          <t>рядок варіанта 14, розподіл за статтями П</t>
        </is>
      </c>
    </row>
    <row r="9">
      <c r="A9" s="2" t="inlineStr">
        <is>
          <t>A8</t>
        </is>
      </c>
      <c r="B9" s="2" t="inlineStr">
        <is>
          <t>Ризик R1</t>
        </is>
      </c>
      <c r="C9" s="2" t="inlineStr">
        <is>
          <t>40% × 16 000 EUR, нестабільні лічильники</t>
        </is>
      </c>
      <c r="D9" s="2" t="inlineStr">
        <is>
          <t>Д</t>
        </is>
      </c>
      <c r="E9" s="2" t="inlineStr">
        <is>
          <t>рядок варіанта 14</t>
        </is>
      </c>
    </row>
    <row r="10">
      <c r="A10" s="2" t="inlineStr">
        <is>
          <t>A9</t>
        </is>
      </c>
      <c r="B10" s="2" t="inlineStr">
        <is>
          <t>Ризик R2</t>
        </is>
      </c>
      <c r="C10" s="2" t="inlineStr">
        <is>
          <t>25% × (5 700 + 19 900 × 10 / 21,75) EUR, вибуття розробника</t>
        </is>
      </c>
      <c r="D10" s="2" t="inlineStr">
        <is>
          <t>П</t>
        </is>
      </c>
      <c r="E10" s="2" t="inlineStr">
        <is>
          <t>річна плинність 25%, 2 розробники, 6,19 міс.</t>
        </is>
      </c>
    </row>
    <row r="11">
      <c r="A11" s="2" t="inlineStr">
        <is>
          <t>A10</t>
        </is>
      </c>
      <c r="B11" s="2" t="inlineStr">
        <is>
          <t>Cloud production</t>
        </is>
      </c>
      <c r="C11" s="2" t="inlineStr">
        <is>
          <t>Y1 12 000 EUR; Y2 +20%; Y3 +10%</t>
        </is>
      </c>
      <c r="D11" s="2" t="inlineStr">
        <is>
          <t>Д</t>
        </is>
      </c>
      <c r="E11" s="2" t="inlineStr">
        <is>
          <t>рядок варіанта 14; growth моделює зростання використання</t>
        </is>
      </c>
    </row>
    <row r="12">
      <c r="A12" s="2" t="inlineStr">
        <is>
          <t>A11</t>
        </is>
      </c>
      <c r="B12" s="2" t="inlineStr">
        <is>
          <t>Альтернатива</t>
        </is>
      </c>
      <c r="C12" s="2" t="inlineStr">
        <is>
          <t>fixed hosting у колокації: start 36 000 EUR, op 15 000 EUR на рік</t>
        </is>
      </c>
      <c r="D12" s="2" t="inlineStr">
        <is>
          <t>Д</t>
        </is>
      </c>
      <c r="E12" s="2" t="inlineStr">
        <is>
          <t>рядок варіанта 14, розподіл за статтями П</t>
        </is>
      </c>
    </row>
    <row r="13">
      <c r="A13" s="2" t="inlineStr">
        <is>
          <t>A12</t>
        </is>
      </c>
      <c r="B13" s="2" t="inlineStr">
        <is>
          <t>Support і change після релізу</t>
        </is>
      </c>
      <c r="C13" s="2" t="inlineStr">
        <is>
          <t>support 0,25 DevOps + 0,25 BA/PM (чергування, оновлення, онбординг нових будівель); change 0,5 Developer + 0,25 QA</t>
        </is>
      </c>
      <c r="D13" s="2" t="inlineStr">
        <is>
          <t>П</t>
        </is>
      </c>
      <c r="E13" s="2" t="inlineStr">
        <is>
          <t>однаково для обох сценаріїв; підтримка будівлі (консультації клієнта, перевірка нестабільних лічильників) є змінною витратою 4,80 EUR у COGS ЛР № 1 і в support не дублюється</t>
        </is>
      </c>
    </row>
    <row r="14">
      <c r="A14" s="2" t="inlineStr">
        <is>
          <t>A13</t>
        </is>
      </c>
      <c r="B14" s="2" t="inlineStr">
        <is>
          <t>Пострелізні ризики</t>
        </is>
      </c>
      <c r="C14" s="2" t="inlineStr">
        <is>
          <t>cloud 30% × 20% річного cloud; альтернатива 10% × (5 000 + 10 днів DevOps)</t>
        </is>
      </c>
      <c r="D14" s="2" t="inlineStr">
        <is>
          <t>П</t>
        </is>
      </c>
      <c r="E14" s="2" t="inlineStr">
        <is>
          <t>різні механізми ризику сценаріїв</t>
        </is>
      </c>
    </row>
    <row r="15">
      <c r="A15" s="2" t="inlineStr">
        <is>
          <t>A14</t>
        </is>
      </c>
      <c r="B15" s="2" t="inlineStr">
        <is>
          <t>Retirement</t>
        </is>
      </c>
      <c r="C15" s="2" t="inlineStr">
        <is>
          <t>10 днів DevOps; для альтернативи ще 700 EUR на демонтаж і знищення дисків</t>
        </is>
      </c>
      <c r="D15" s="2" t="inlineStr">
        <is>
          <t>П</t>
        </is>
      </c>
      <c r="E15" s="2" t="inlineStr">
        <is>
          <t>в кінці Y3</t>
        </is>
      </c>
    </row>
    <row r="16">
      <c r="A16" s="2" t="inlineStr">
        <is>
          <t>A15</t>
        </is>
      </c>
      <c r="B16" s="2" t="inlineStr">
        <is>
          <t>Інфляція і горизонт</t>
        </is>
      </c>
      <c r="C16" s="2" t="inlineStr">
        <is>
          <t>постійні ціни EUR, без індексації; 3 роки експлуатації після релізу</t>
        </is>
      </c>
      <c r="D16" s="2" t="inlineStr">
        <is>
          <t>П</t>
        </is>
      </c>
      <c r="E16" s="2" t="inlineStr">
        <is>
          <t>однаково для обох сценаріїв</t>
        </is>
      </c>
    </row>
  </sheetData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2" customWidth="1" min="8" max="8"/>
    <col width="13" customWidth="1" min="9" max="9"/>
  </cols>
  <sheetData>
    <row r="1">
      <c r="A1" s="1" t="inlineStr">
        <is>
          <t>Роль</t>
        </is>
      </c>
      <c r="B1" s="1" t="inlineStr">
        <is>
          <t>Loaded rate</t>
        </is>
      </c>
      <c r="C1" s="1" t="inlineStr">
        <is>
          <t>Накладні</t>
        </is>
      </c>
      <c r="D1" s="1" t="inlineStr">
        <is>
          <t>Бенефіти</t>
        </is>
      </c>
      <c r="E1" s="1" t="inlineStr">
        <is>
          <t>Оклад</t>
        </is>
      </c>
      <c r="F1" s="1" t="inlineStr">
        <is>
          <t>ЄСВ</t>
        </is>
      </c>
      <c r="G1" s="1" t="inlineStr">
        <is>
          <t>Сума складових</t>
        </is>
      </c>
      <c r="H1" s="1" t="inlineStr">
        <is>
          <t>Частка окладу</t>
        </is>
      </c>
      <c r="I1" s="1" t="inlineStr">
        <is>
          <t>Контроль</t>
        </is>
      </c>
    </row>
    <row r="2">
      <c r="A2" s="2" t="inlineStr">
        <is>
          <t>BA/PM</t>
        </is>
      </c>
      <c r="B2" s="7">
        <f>x_rate_BA</f>
        <v/>
      </c>
      <c r="C2" s="7">
        <f>x_overhead</f>
        <v/>
      </c>
      <c r="D2" s="7">
        <f>x_benefits</f>
        <v/>
      </c>
      <c r="E2" s="7">
        <f>IF((B2-C2-D2)/(1+x_esv)&lt;=$B$9,(B2-C2-D2)/(1+x_esv),(B2-C2-D2)-x_esv*$B$9)</f>
        <v/>
      </c>
      <c r="F2" s="7">
        <f>x_esv*MIN(E2,$B$9)</f>
        <v/>
      </c>
      <c r="G2" s="7">
        <f>C2+D2+E2+F2</f>
        <v/>
      </c>
      <c r="H2" s="8">
        <f>E2/B2</f>
        <v/>
      </c>
      <c r="I2" s="9">
        <f>IF(ABS(G2-B2)&lt;0.01,"збігається","розбіжність")</f>
        <v/>
      </c>
    </row>
    <row r="3">
      <c r="A3" s="2" t="inlineStr">
        <is>
          <t>UX</t>
        </is>
      </c>
      <c r="B3" s="7">
        <f>x_rate_UX</f>
        <v/>
      </c>
      <c r="C3" s="7">
        <f>x_overhead</f>
        <v/>
      </c>
      <c r="D3" s="7">
        <f>x_benefits</f>
        <v/>
      </c>
      <c r="E3" s="7">
        <f>IF((B3-C3-D3)/(1+x_esv)&lt;=$B$9,(B3-C3-D3)/(1+x_esv),(B3-C3-D3)-x_esv*$B$9)</f>
        <v/>
      </c>
      <c r="F3" s="7">
        <f>x_esv*MIN(E3,$B$9)</f>
        <v/>
      </c>
      <c r="G3" s="7">
        <f>C3+D3+E3+F3</f>
        <v/>
      </c>
      <c r="H3" s="8">
        <f>E3/B3</f>
        <v/>
      </c>
      <c r="I3" s="9">
        <f>IF(ABS(G3-B3)&lt;0.01,"збігається","розбіжність")</f>
        <v/>
      </c>
    </row>
    <row r="4">
      <c r="A4" s="2" t="inlineStr">
        <is>
          <t>Developer</t>
        </is>
      </c>
      <c r="B4" s="7">
        <f>x_rate_DEV</f>
        <v/>
      </c>
      <c r="C4" s="7">
        <f>x_overhead</f>
        <v/>
      </c>
      <c r="D4" s="7">
        <f>x_benefits</f>
        <v/>
      </c>
      <c r="E4" s="7">
        <f>IF((B4-C4-D4)/(1+x_esv)&lt;=$B$9,(B4-C4-D4)/(1+x_esv),(B4-C4-D4)-x_esv*$B$9)</f>
        <v/>
      </c>
      <c r="F4" s="7">
        <f>x_esv*MIN(E4,$B$9)</f>
        <v/>
      </c>
      <c r="G4" s="7">
        <f>C4+D4+E4+F4</f>
        <v/>
      </c>
      <c r="H4" s="8">
        <f>E4/B4</f>
        <v/>
      </c>
      <c r="I4" s="9">
        <f>IF(ABS(G4-B4)&lt;0.01,"збігається","розбіжність")</f>
        <v/>
      </c>
    </row>
    <row r="5">
      <c r="A5" s="2" t="inlineStr">
        <is>
          <t>QA</t>
        </is>
      </c>
      <c r="B5" s="7">
        <f>x_rate_QA</f>
        <v/>
      </c>
      <c r="C5" s="7">
        <f>x_overhead</f>
        <v/>
      </c>
      <c r="D5" s="7">
        <f>x_benefits</f>
        <v/>
      </c>
      <c r="E5" s="7">
        <f>IF((B5-C5-D5)/(1+x_esv)&lt;=$B$9,(B5-C5-D5)/(1+x_esv),(B5-C5-D5)-x_esv*$B$9)</f>
        <v/>
      </c>
      <c r="F5" s="7">
        <f>x_esv*MIN(E5,$B$9)</f>
        <v/>
      </c>
      <c r="G5" s="7">
        <f>C5+D5+E5+F5</f>
        <v/>
      </c>
      <c r="H5" s="8">
        <f>E5/B5</f>
        <v/>
      </c>
      <c r="I5" s="9">
        <f>IF(ABS(G5-B5)&lt;0.01,"збігається","розбіжність")</f>
        <v/>
      </c>
    </row>
    <row r="6">
      <c r="A6" s="2" t="inlineStr">
        <is>
          <t>DevOps</t>
        </is>
      </c>
      <c r="B6" s="7">
        <f>x_rate_OPS</f>
        <v/>
      </c>
      <c r="C6" s="7">
        <f>x_overhead</f>
        <v/>
      </c>
      <c r="D6" s="7">
        <f>x_benefits</f>
        <v/>
      </c>
      <c r="E6" s="7">
        <f>IF((B6-C6-D6)/(1+x_esv)&lt;=$B$9,(B6-C6-D6)/(1+x_esv),(B6-C6-D6)-x_esv*$B$9)</f>
        <v/>
      </c>
      <c r="F6" s="7">
        <f>x_esv*MIN(E6,$B$9)</f>
        <v/>
      </c>
      <c r="G6" s="7">
        <f>C6+D6+E6+F6</f>
        <v/>
      </c>
      <c r="H6" s="8">
        <f>E6/B6</f>
        <v/>
      </c>
      <c r="I6" s="9">
        <f>IF(ABS(G6-B6)&lt;0.01,"збігається","розбіжність")</f>
        <v/>
      </c>
    </row>
    <row r="8">
      <c r="A8" s="1" t="inlineStr">
        <is>
          <t>Показник</t>
        </is>
      </c>
      <c r="B8" s="1" t="inlineStr">
        <is>
          <t>Значення</t>
        </is>
      </c>
    </row>
    <row r="9">
      <c r="A9" s="2" t="inlineStr">
        <is>
          <t>Максимальна база ЄСВ, EUR/міс.</t>
        </is>
      </c>
      <c r="B9" s="7">
        <f>x_min_wage*x_cap_mult/x_fx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1" customWidth="1" min="4" max="4"/>
    <col width="12" customWidth="1" min="5" max="5"/>
    <col width="12" customWidth="1" min="6" max="6"/>
    <col width="11" customWidth="1" min="7" max="7"/>
    <col width="14" customWidth="1" min="8" max="8"/>
    <col width="14" customWidth="1" min="9" max="9"/>
    <col width="12" customWidth="1" min="10" max="10"/>
    <col width="14" customWidth="1" min="11" max="11"/>
  </cols>
  <sheetData>
    <row r="1">
      <c r="A1" s="1" t="inlineStr">
        <is>
          <t>Фаза</t>
        </is>
      </c>
      <c r="B1" s="1" t="inlineStr">
        <is>
          <t>Початок, роб. день</t>
        </is>
      </c>
      <c r="C1" s="1" t="inlineStr">
        <is>
          <t>Кінець, роб. день</t>
        </is>
      </c>
      <c r="D1" s="1" t="inlineStr">
        <is>
          <t>Тривалість, роб. днів</t>
        </is>
      </c>
      <c r="E1" s="1" t="inlineStr">
        <is>
          <t>Тривалість, міс.</t>
        </is>
      </c>
    </row>
    <row r="2">
      <c r="A2" s="2" t="inlineStr">
        <is>
          <t>Аналіз</t>
        </is>
      </c>
      <c r="B2" s="10">
        <f>0</f>
        <v/>
      </c>
      <c r="C2" s="10">
        <f>x_ef11</f>
        <v/>
      </c>
      <c r="D2" s="10">
        <f>C2-B2</f>
        <v/>
      </c>
      <c r="E2" s="5">
        <f>SUM(G9:G20)</f>
        <v/>
      </c>
    </row>
    <row r="3">
      <c r="A3" s="2" t="inlineStr">
        <is>
          <t>Проєктування</t>
        </is>
      </c>
      <c r="B3" s="10">
        <f>x_ef11</f>
        <v/>
      </c>
      <c r="C3" s="10">
        <f>x_ef12</f>
        <v/>
      </c>
      <c r="D3" s="10">
        <f>C3-B3</f>
        <v/>
      </c>
      <c r="E3" s="5">
        <f>SUM(H9:H20)</f>
        <v/>
      </c>
    </row>
    <row r="4">
      <c r="A4" s="2" t="inlineStr">
        <is>
          <t>Розроблення</t>
        </is>
      </c>
      <c r="B4" s="10">
        <f>x_ef12</f>
        <v/>
      </c>
      <c r="C4" s="10">
        <f>x_fc</f>
        <v/>
      </c>
      <c r="D4" s="10">
        <f>C4-B4</f>
        <v/>
      </c>
      <c r="E4" s="5">
        <f>SUM(I9:I20)</f>
        <v/>
      </c>
    </row>
    <row r="5">
      <c r="A5" s="2" t="inlineStr">
        <is>
          <t>Тестування і реліз</t>
        </is>
      </c>
      <c r="B5" s="10">
        <f>x_fc</f>
        <v/>
      </c>
      <c r="C5" s="10">
        <f>x_bl_days</f>
        <v/>
      </c>
      <c r="D5" s="10">
        <f>C5-B5</f>
        <v/>
      </c>
      <c r="E5" s="5">
        <f>SUM(J9:J20)</f>
        <v/>
      </c>
    </row>
    <row r="6">
      <c r="A6" s="2" t="inlineStr">
        <is>
          <t>Разом</t>
        </is>
      </c>
      <c r="B6" s="2" t="inlineStr"/>
      <c r="C6" s="2" t="inlineStr"/>
      <c r="D6" s="10">
        <f>SUM(D2:D5)</f>
        <v/>
      </c>
      <c r="E6" s="5">
        <f>SUM(E2:E5)</f>
        <v/>
      </c>
    </row>
    <row r="8">
      <c r="A8" s="1" t="inlineStr">
        <is>
          <t>Місяць</t>
        </is>
      </c>
      <c r="B8" s="1" t="inlineStr">
        <is>
          <t>Початок</t>
        </is>
      </c>
      <c r="C8" s="1" t="inlineStr">
        <is>
          <t>Кінець</t>
        </is>
      </c>
      <c r="D8" s="1" t="inlineStr">
        <is>
          <t>Роб. днів</t>
        </is>
      </c>
      <c r="E8" s="1" t="inlineStr">
        <is>
          <t>Наростом на початок</t>
        </is>
      </c>
      <c r="F8" s="1" t="inlineStr">
        <is>
          <t>Наростом на кінець</t>
        </is>
      </c>
      <c r="G8" s="1" t="inlineStr">
        <is>
          <t>Частка: аналіз</t>
        </is>
      </c>
      <c r="H8" s="1" t="inlineStr">
        <is>
          <t>Частка: проєктування</t>
        </is>
      </c>
      <c r="I8" s="1" t="inlineStr">
        <is>
          <t>Частка: розроблення</t>
        </is>
      </c>
      <c r="J8" s="1" t="inlineStr">
        <is>
          <t>Частка: тест і реліз</t>
        </is>
      </c>
      <c r="K8" s="1" t="inlineStr">
        <is>
          <t>Частка експлуатації</t>
        </is>
      </c>
    </row>
    <row r="9">
      <c r="A9" s="2" t="inlineStr">
        <is>
          <t>M1 лис 26</t>
        </is>
      </c>
      <c r="B9" s="11">
        <f>EDATE(DATE(2026,11,1),0)</f>
        <v/>
      </c>
      <c r="C9" s="11">
        <f>EOMONTH(B9,0)</f>
        <v/>
      </c>
      <c r="D9" s="9">
        <f>NETWORKDAYS(MAX(B9,x_start),C9,x_holidays)</f>
        <v/>
      </c>
      <c r="E9" s="9" t="n">
        <v>0</v>
      </c>
      <c r="F9" s="9">
        <f>E9+D9</f>
        <v/>
      </c>
      <c r="G9" s="5">
        <f>MAX(0,MIN(x_pe_A,F9)-MAX(x_ps_A,E9))/D9</f>
        <v/>
      </c>
      <c r="H9" s="5">
        <f>MAX(0,MIN(x_pe_D,F9)-MAX(x_ps_D,E9))/D9</f>
        <v/>
      </c>
      <c r="I9" s="5">
        <f>MAX(0,MIN(x_pe_B,F9)-MAX(x_ps_B,E9))/D9</f>
        <v/>
      </c>
      <c r="J9" s="5">
        <f>MAX(0,MIN(x_pe_T,F9)-MAX(x_ps_T,E9))/D9</f>
        <v/>
      </c>
      <c r="K9" s="5">
        <f>IF(F9&lt;=x_bl_days,0,IF(E9&gt;=x_bl_days,1,(F9-x_bl_days)/D9))</f>
        <v/>
      </c>
    </row>
    <row r="10">
      <c r="A10" s="2" t="inlineStr">
        <is>
          <t>M2 гру 26</t>
        </is>
      </c>
      <c r="B10" s="11">
        <f>EDATE(DATE(2026,11,1),1)</f>
        <v/>
      </c>
      <c r="C10" s="11">
        <f>EOMONTH(B10,0)</f>
        <v/>
      </c>
      <c r="D10" s="9">
        <f>NETWORKDAYS(MAX(B10,x_start),C10,x_holidays)</f>
        <v/>
      </c>
      <c r="E10" s="9">
        <f>F9</f>
        <v/>
      </c>
      <c r="F10" s="9">
        <f>E10+D10</f>
        <v/>
      </c>
      <c r="G10" s="5">
        <f>MAX(0,MIN(x_pe_A,F10)-MAX(x_ps_A,E10))/D10</f>
        <v/>
      </c>
      <c r="H10" s="5">
        <f>MAX(0,MIN(x_pe_D,F10)-MAX(x_ps_D,E10))/D10</f>
        <v/>
      </c>
      <c r="I10" s="5">
        <f>MAX(0,MIN(x_pe_B,F10)-MAX(x_ps_B,E10))/D10</f>
        <v/>
      </c>
      <c r="J10" s="5">
        <f>MAX(0,MIN(x_pe_T,F10)-MAX(x_ps_T,E10))/D10</f>
        <v/>
      </c>
      <c r="K10" s="5">
        <f>IF(F10&lt;=x_bl_days,0,IF(E10&gt;=x_bl_days,1,(F10-x_bl_days)/D10))</f>
        <v/>
      </c>
    </row>
    <row r="11">
      <c r="A11" s="2" t="inlineStr">
        <is>
          <t>M3 січ 27</t>
        </is>
      </c>
      <c r="B11" s="11">
        <f>EDATE(DATE(2026,11,1),2)</f>
        <v/>
      </c>
      <c r="C11" s="11">
        <f>EOMONTH(B11,0)</f>
        <v/>
      </c>
      <c r="D11" s="9">
        <f>NETWORKDAYS(MAX(B11,x_start),C11,x_holidays)</f>
        <v/>
      </c>
      <c r="E11" s="9">
        <f>F10</f>
        <v/>
      </c>
      <c r="F11" s="9">
        <f>E11+D11</f>
        <v/>
      </c>
      <c r="G11" s="5">
        <f>MAX(0,MIN(x_pe_A,F11)-MAX(x_ps_A,E11))/D11</f>
        <v/>
      </c>
      <c r="H11" s="5">
        <f>MAX(0,MIN(x_pe_D,F11)-MAX(x_ps_D,E11))/D11</f>
        <v/>
      </c>
      <c r="I11" s="5">
        <f>MAX(0,MIN(x_pe_B,F11)-MAX(x_ps_B,E11))/D11</f>
        <v/>
      </c>
      <c r="J11" s="5">
        <f>MAX(0,MIN(x_pe_T,F11)-MAX(x_ps_T,E11))/D11</f>
        <v/>
      </c>
      <c r="K11" s="5">
        <f>IF(F11&lt;=x_bl_days,0,IF(E11&gt;=x_bl_days,1,(F11-x_bl_days)/D11))</f>
        <v/>
      </c>
    </row>
    <row r="12">
      <c r="A12" s="2" t="inlineStr">
        <is>
          <t>M4 лют 27</t>
        </is>
      </c>
      <c r="B12" s="11">
        <f>EDATE(DATE(2026,11,1),3)</f>
        <v/>
      </c>
      <c r="C12" s="11">
        <f>EOMONTH(B12,0)</f>
        <v/>
      </c>
      <c r="D12" s="9">
        <f>NETWORKDAYS(MAX(B12,x_start),C12,x_holidays)</f>
        <v/>
      </c>
      <c r="E12" s="9">
        <f>F11</f>
        <v/>
      </c>
      <c r="F12" s="9">
        <f>E12+D12</f>
        <v/>
      </c>
      <c r="G12" s="5">
        <f>MAX(0,MIN(x_pe_A,F12)-MAX(x_ps_A,E12))/D12</f>
        <v/>
      </c>
      <c r="H12" s="5">
        <f>MAX(0,MIN(x_pe_D,F12)-MAX(x_ps_D,E12))/D12</f>
        <v/>
      </c>
      <c r="I12" s="5">
        <f>MAX(0,MIN(x_pe_B,F12)-MAX(x_ps_B,E12))/D12</f>
        <v/>
      </c>
      <c r="J12" s="5">
        <f>MAX(0,MIN(x_pe_T,F12)-MAX(x_ps_T,E12))/D12</f>
        <v/>
      </c>
      <c r="K12" s="5">
        <f>IF(F12&lt;=x_bl_days,0,IF(E12&gt;=x_bl_days,1,(F12-x_bl_days)/D12))</f>
        <v/>
      </c>
    </row>
    <row r="13">
      <c r="A13" s="2" t="inlineStr">
        <is>
          <t>M5 бер 27</t>
        </is>
      </c>
      <c r="B13" s="11">
        <f>EDATE(DATE(2026,11,1),4)</f>
        <v/>
      </c>
      <c r="C13" s="11">
        <f>EOMONTH(B13,0)</f>
        <v/>
      </c>
      <c r="D13" s="9">
        <f>NETWORKDAYS(MAX(B13,x_start),C13,x_holidays)</f>
        <v/>
      </c>
      <c r="E13" s="9">
        <f>F12</f>
        <v/>
      </c>
      <c r="F13" s="9">
        <f>E13+D13</f>
        <v/>
      </c>
      <c r="G13" s="5">
        <f>MAX(0,MIN(x_pe_A,F13)-MAX(x_ps_A,E13))/D13</f>
        <v/>
      </c>
      <c r="H13" s="5">
        <f>MAX(0,MIN(x_pe_D,F13)-MAX(x_ps_D,E13))/D13</f>
        <v/>
      </c>
      <c r="I13" s="5">
        <f>MAX(0,MIN(x_pe_B,F13)-MAX(x_ps_B,E13))/D13</f>
        <v/>
      </c>
      <c r="J13" s="5">
        <f>MAX(0,MIN(x_pe_T,F13)-MAX(x_ps_T,E13))/D13</f>
        <v/>
      </c>
      <c r="K13" s="5">
        <f>IF(F13&lt;=x_bl_days,0,IF(E13&gt;=x_bl_days,1,(F13-x_bl_days)/D13))</f>
        <v/>
      </c>
    </row>
    <row r="14">
      <c r="A14" s="2" t="inlineStr">
        <is>
          <t>M6 кві 27</t>
        </is>
      </c>
      <c r="B14" s="11">
        <f>EDATE(DATE(2026,11,1),5)</f>
        <v/>
      </c>
      <c r="C14" s="11">
        <f>EOMONTH(B14,0)</f>
        <v/>
      </c>
      <c r="D14" s="9">
        <f>NETWORKDAYS(MAX(B14,x_start),C14,x_holidays)</f>
        <v/>
      </c>
      <c r="E14" s="9">
        <f>F13</f>
        <v/>
      </c>
      <c r="F14" s="9">
        <f>E14+D14</f>
        <v/>
      </c>
      <c r="G14" s="5">
        <f>MAX(0,MIN(x_pe_A,F14)-MAX(x_ps_A,E14))/D14</f>
        <v/>
      </c>
      <c r="H14" s="5">
        <f>MAX(0,MIN(x_pe_D,F14)-MAX(x_ps_D,E14))/D14</f>
        <v/>
      </c>
      <c r="I14" s="5">
        <f>MAX(0,MIN(x_pe_B,F14)-MAX(x_ps_B,E14))/D14</f>
        <v/>
      </c>
      <c r="J14" s="5">
        <f>MAX(0,MIN(x_pe_T,F14)-MAX(x_ps_T,E14))/D14</f>
        <v/>
      </c>
      <c r="K14" s="5">
        <f>IF(F14&lt;=x_bl_days,0,IF(E14&gt;=x_bl_days,1,(F14-x_bl_days)/D14))</f>
        <v/>
      </c>
    </row>
    <row r="15">
      <c r="A15" s="2" t="inlineStr">
        <is>
          <t>M7 тра 27</t>
        </is>
      </c>
      <c r="B15" s="11">
        <f>EDATE(DATE(2026,11,1),6)</f>
        <v/>
      </c>
      <c r="C15" s="11">
        <f>EOMONTH(B15,0)</f>
        <v/>
      </c>
      <c r="D15" s="9">
        <f>NETWORKDAYS(MAX(B15,x_start),C15,x_holidays)</f>
        <v/>
      </c>
      <c r="E15" s="9">
        <f>F14</f>
        <v/>
      </c>
      <c r="F15" s="9">
        <f>E15+D15</f>
        <v/>
      </c>
      <c r="G15" s="5">
        <f>MAX(0,MIN(x_pe_A,F15)-MAX(x_ps_A,E15))/D15</f>
        <v/>
      </c>
      <c r="H15" s="5">
        <f>MAX(0,MIN(x_pe_D,F15)-MAX(x_ps_D,E15))/D15</f>
        <v/>
      </c>
      <c r="I15" s="5">
        <f>MAX(0,MIN(x_pe_B,F15)-MAX(x_ps_B,E15))/D15</f>
        <v/>
      </c>
      <c r="J15" s="5">
        <f>MAX(0,MIN(x_pe_T,F15)-MAX(x_ps_T,E15))/D15</f>
        <v/>
      </c>
      <c r="K15" s="5">
        <f>IF(F15&lt;=x_bl_days,0,IF(E15&gt;=x_bl_days,1,(F15-x_bl_days)/D15))</f>
        <v/>
      </c>
    </row>
    <row r="16">
      <c r="A16" s="2" t="inlineStr">
        <is>
          <t>M8 чер 27</t>
        </is>
      </c>
      <c r="B16" s="11">
        <f>EDATE(DATE(2026,11,1),7)</f>
        <v/>
      </c>
      <c r="C16" s="11">
        <f>EOMONTH(B16,0)</f>
        <v/>
      </c>
      <c r="D16" s="9">
        <f>NETWORKDAYS(MAX(B16,x_start),C16,x_holidays)</f>
        <v/>
      </c>
      <c r="E16" s="9">
        <f>F15</f>
        <v/>
      </c>
      <c r="F16" s="9">
        <f>E16+D16</f>
        <v/>
      </c>
      <c r="G16" s="5">
        <f>MAX(0,MIN(x_pe_A,F16)-MAX(x_ps_A,E16))/D16</f>
        <v/>
      </c>
      <c r="H16" s="5">
        <f>MAX(0,MIN(x_pe_D,F16)-MAX(x_ps_D,E16))/D16</f>
        <v/>
      </c>
      <c r="I16" s="5">
        <f>MAX(0,MIN(x_pe_B,F16)-MAX(x_ps_B,E16))/D16</f>
        <v/>
      </c>
      <c r="J16" s="5">
        <f>MAX(0,MIN(x_pe_T,F16)-MAX(x_ps_T,E16))/D16</f>
        <v/>
      </c>
      <c r="K16" s="5">
        <f>IF(F16&lt;=x_bl_days,0,IF(E16&gt;=x_bl_days,1,(F16-x_bl_days)/D16))</f>
        <v/>
      </c>
    </row>
    <row r="17">
      <c r="A17" s="2" t="inlineStr">
        <is>
          <t>M9 лип 27</t>
        </is>
      </c>
      <c r="B17" s="11">
        <f>EDATE(DATE(2026,11,1),8)</f>
        <v/>
      </c>
      <c r="C17" s="11">
        <f>EOMONTH(B17,0)</f>
        <v/>
      </c>
      <c r="D17" s="9">
        <f>NETWORKDAYS(MAX(B17,x_start),C17,x_holidays)</f>
        <v/>
      </c>
      <c r="E17" s="9">
        <f>F16</f>
        <v/>
      </c>
      <c r="F17" s="9">
        <f>E17+D17</f>
        <v/>
      </c>
      <c r="G17" s="5">
        <f>MAX(0,MIN(x_pe_A,F17)-MAX(x_ps_A,E17))/D17</f>
        <v/>
      </c>
      <c r="H17" s="5">
        <f>MAX(0,MIN(x_pe_D,F17)-MAX(x_ps_D,E17))/D17</f>
        <v/>
      </c>
      <c r="I17" s="5">
        <f>MAX(0,MIN(x_pe_B,F17)-MAX(x_ps_B,E17))/D17</f>
        <v/>
      </c>
      <c r="J17" s="5">
        <f>MAX(0,MIN(x_pe_T,F17)-MAX(x_ps_T,E17))/D17</f>
        <v/>
      </c>
      <c r="K17" s="5">
        <f>IF(F17&lt;=x_bl_days,0,IF(E17&gt;=x_bl_days,1,(F17-x_bl_days)/D17))</f>
        <v/>
      </c>
    </row>
    <row r="18">
      <c r="A18" s="2" t="inlineStr">
        <is>
          <t>M10 сер 27</t>
        </is>
      </c>
      <c r="B18" s="11">
        <f>EDATE(DATE(2026,11,1),9)</f>
        <v/>
      </c>
      <c r="C18" s="11">
        <f>EOMONTH(B18,0)</f>
        <v/>
      </c>
      <c r="D18" s="9">
        <f>NETWORKDAYS(MAX(B18,x_start),C18,x_holidays)</f>
        <v/>
      </c>
      <c r="E18" s="9">
        <f>F17</f>
        <v/>
      </c>
      <c r="F18" s="9">
        <f>E18+D18</f>
        <v/>
      </c>
      <c r="G18" s="5">
        <f>MAX(0,MIN(x_pe_A,F18)-MAX(x_ps_A,E18))/D18</f>
        <v/>
      </c>
      <c r="H18" s="5">
        <f>MAX(0,MIN(x_pe_D,F18)-MAX(x_ps_D,E18))/D18</f>
        <v/>
      </c>
      <c r="I18" s="5">
        <f>MAX(0,MIN(x_pe_B,F18)-MAX(x_ps_B,E18))/D18</f>
        <v/>
      </c>
      <c r="J18" s="5">
        <f>MAX(0,MIN(x_pe_T,F18)-MAX(x_ps_T,E18))/D18</f>
        <v/>
      </c>
      <c r="K18" s="5">
        <f>IF(F18&lt;=x_bl_days,0,IF(E18&gt;=x_bl_days,1,(F18-x_bl_days)/D18))</f>
        <v/>
      </c>
    </row>
    <row r="19">
      <c r="A19" s="2" t="inlineStr">
        <is>
          <t>M11 вер 27</t>
        </is>
      </c>
      <c r="B19" s="11">
        <f>EDATE(DATE(2026,11,1),10)</f>
        <v/>
      </c>
      <c r="C19" s="11">
        <f>EOMONTH(B19,0)</f>
        <v/>
      </c>
      <c r="D19" s="9">
        <f>NETWORKDAYS(MAX(B19,x_start),C19,x_holidays)</f>
        <v/>
      </c>
      <c r="E19" s="9">
        <f>F18</f>
        <v/>
      </c>
      <c r="F19" s="9">
        <f>E19+D19</f>
        <v/>
      </c>
      <c r="G19" s="5">
        <f>MAX(0,MIN(x_pe_A,F19)-MAX(x_ps_A,E19))/D19</f>
        <v/>
      </c>
      <c r="H19" s="5">
        <f>MAX(0,MIN(x_pe_D,F19)-MAX(x_ps_D,E19))/D19</f>
        <v/>
      </c>
      <c r="I19" s="5">
        <f>MAX(0,MIN(x_pe_B,F19)-MAX(x_ps_B,E19))/D19</f>
        <v/>
      </c>
      <c r="J19" s="5">
        <f>MAX(0,MIN(x_pe_T,F19)-MAX(x_ps_T,E19))/D19</f>
        <v/>
      </c>
      <c r="K19" s="5">
        <f>IF(F19&lt;=x_bl_days,0,IF(E19&gt;=x_bl_days,1,(F19-x_bl_days)/D19))</f>
        <v/>
      </c>
    </row>
    <row r="20">
      <c r="A20" s="2" t="inlineStr">
        <is>
          <t>M12 жов 27</t>
        </is>
      </c>
      <c r="B20" s="11">
        <f>EDATE(DATE(2026,11,1),11)</f>
        <v/>
      </c>
      <c r="C20" s="11">
        <f>EOMONTH(B20,0)</f>
        <v/>
      </c>
      <c r="D20" s="9">
        <f>NETWORKDAYS(MAX(B20,x_start),C20,x_holidays)</f>
        <v/>
      </c>
      <c r="E20" s="9">
        <f>F19</f>
        <v/>
      </c>
      <c r="F20" s="9">
        <f>E20+D20</f>
        <v/>
      </c>
      <c r="G20" s="5">
        <f>MAX(0,MIN(x_pe_A,F20)-MAX(x_ps_A,E20))/D20</f>
        <v/>
      </c>
      <c r="H20" s="5">
        <f>MAX(0,MIN(x_pe_D,F20)-MAX(x_ps_D,E20))/D20</f>
        <v/>
      </c>
      <c r="I20" s="5">
        <f>MAX(0,MIN(x_pe_B,F20)-MAX(x_ps_B,E20))/D20</f>
        <v/>
      </c>
      <c r="J20" s="5">
        <f>MAX(0,MIN(x_pe_T,F20)-MAX(x_ps_T,E20))/D20</f>
        <v/>
      </c>
      <c r="K20" s="5">
        <f>IF(F20&lt;=x_bl_days,0,IF(E20&gt;=x_bl_days,1,(F20-x_bl_days)/D20))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4" customWidth="1" min="4" max="4"/>
    <col width="14" customWidth="1" min="5" max="5"/>
    <col width="11" customWidth="1" min="6" max="6"/>
    <col width="10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Роль</t>
        </is>
      </c>
      <c r="B1" s="1" t="inlineStr">
        <is>
          <t>Loaded rate, EUR/міс.</t>
        </is>
      </c>
      <c r="C1" s="1" t="inlineStr">
        <is>
          <t>FTE: аналіз</t>
        </is>
      </c>
      <c r="D1" s="1" t="inlineStr">
        <is>
          <t>FTE: проєктування</t>
        </is>
      </c>
      <c r="E1" s="1" t="inlineStr">
        <is>
          <t>FTE: розроблення</t>
        </is>
      </c>
      <c r="F1" s="1" t="inlineStr">
        <is>
          <t>FTE: тест і реліз</t>
        </is>
      </c>
      <c r="G1" s="1" t="inlineStr">
        <is>
          <t>FTE-міс.: аналіз</t>
        </is>
      </c>
      <c r="H1" s="1" t="inlineStr">
        <is>
          <t>FTE-міс.: проєктування</t>
        </is>
      </c>
      <c r="I1" s="1" t="inlineStr">
        <is>
          <t>FTE-міс.: розроблення</t>
        </is>
      </c>
      <c r="J1" s="1" t="inlineStr">
        <is>
          <t>FTE-міс.: тест і реліз</t>
        </is>
      </c>
      <c r="K1" s="1" t="inlineStr">
        <is>
          <t>FTE-міс. разом</t>
        </is>
      </c>
      <c r="L1" s="1" t="inlineStr">
        <is>
          <t>Вартість, EUR</t>
        </is>
      </c>
      <c r="M1" s="1" t="inlineStr">
        <is>
          <t>FTE у ЛР № 2</t>
        </is>
      </c>
    </row>
    <row r="2">
      <c r="A2" s="2" t="inlineStr">
        <is>
          <t>BA/PM</t>
        </is>
      </c>
      <c r="B2" s="9">
        <f>x_rate_BA</f>
        <v/>
      </c>
      <c r="C2" s="12" t="n">
        <v>0.5</v>
      </c>
      <c r="D2" s="12" t="n">
        <v>0.25</v>
      </c>
      <c r="E2" s="12" t="n">
        <v>0.5</v>
      </c>
      <c r="F2" s="12" t="n">
        <v>0.5</v>
      </c>
      <c r="G2" s="13">
        <f>C2*x_pm_A</f>
        <v/>
      </c>
      <c r="H2" s="13">
        <f>D2*x_pm_D</f>
        <v/>
      </c>
      <c r="I2" s="13">
        <f>E2*x_pm_B</f>
        <v/>
      </c>
      <c r="J2" s="13">
        <f>F2*x_pm_T</f>
        <v/>
      </c>
      <c r="K2" s="13">
        <f>SUM(G2:J2)</f>
        <v/>
      </c>
      <c r="L2" s="7">
        <f>B2*K2</f>
        <v/>
      </c>
      <c r="M2" s="9" t="n">
        <v>0.5</v>
      </c>
    </row>
    <row r="3">
      <c r="A3" s="2" t="inlineStr">
        <is>
          <t>UX</t>
        </is>
      </c>
      <c r="B3" s="9">
        <f>x_rate_UX</f>
        <v/>
      </c>
      <c r="C3" s="12" t="n">
        <v>0</v>
      </c>
      <c r="D3" s="12" t="n">
        <v>0</v>
      </c>
      <c r="E3" s="12" t="n">
        <v>0</v>
      </c>
      <c r="F3" s="12" t="n">
        <v>0</v>
      </c>
      <c r="G3" s="13">
        <f>C3*x_pm_A</f>
        <v/>
      </c>
      <c r="H3" s="13">
        <f>D3*x_pm_D</f>
        <v/>
      </c>
      <c r="I3" s="13">
        <f>E3*x_pm_B</f>
        <v/>
      </c>
      <c r="J3" s="13">
        <f>F3*x_pm_T</f>
        <v/>
      </c>
      <c r="K3" s="13">
        <f>SUM(G3:J3)</f>
        <v/>
      </c>
      <c r="L3" s="7">
        <f>B3*K3</f>
        <v/>
      </c>
      <c r="M3" s="9" t="n">
        <v>0</v>
      </c>
    </row>
    <row r="4">
      <c r="A4" s="2" t="inlineStr">
        <is>
          <t>Developer (2 особи)</t>
        </is>
      </c>
      <c r="B4" s="9">
        <f>x_rate_DEV</f>
        <v/>
      </c>
      <c r="C4" s="12" t="n">
        <v>2</v>
      </c>
      <c r="D4" s="12" t="n">
        <v>2</v>
      </c>
      <c r="E4" s="12" t="n">
        <v>2</v>
      </c>
      <c r="F4" s="12" t="n">
        <v>2</v>
      </c>
      <c r="G4" s="13">
        <f>C4*x_pm_A</f>
        <v/>
      </c>
      <c r="H4" s="13">
        <f>D4*x_pm_D</f>
        <v/>
      </c>
      <c r="I4" s="13">
        <f>E4*x_pm_B</f>
        <v/>
      </c>
      <c r="J4" s="13">
        <f>F4*x_pm_T</f>
        <v/>
      </c>
      <c r="K4" s="13">
        <f>SUM(G4:J4)</f>
        <v/>
      </c>
      <c r="L4" s="7">
        <f>B4*K4</f>
        <v/>
      </c>
      <c r="M4" s="9" t="n">
        <v>2</v>
      </c>
    </row>
    <row r="5">
      <c r="A5" s="2" t="inlineStr">
        <is>
          <t>QA</t>
        </is>
      </c>
      <c r="B5" s="9">
        <f>x_rate_QA</f>
        <v/>
      </c>
      <c r="C5" s="12" t="n">
        <v>0.25</v>
      </c>
      <c r="D5" s="12" t="n">
        <v>0.5</v>
      </c>
      <c r="E5" s="12" t="n">
        <v>0.75</v>
      </c>
      <c r="F5" s="12" t="n">
        <v>0.75</v>
      </c>
      <c r="G5" s="13">
        <f>C5*x_pm_A</f>
        <v/>
      </c>
      <c r="H5" s="13">
        <f>D5*x_pm_D</f>
        <v/>
      </c>
      <c r="I5" s="13">
        <f>E5*x_pm_B</f>
        <v/>
      </c>
      <c r="J5" s="13">
        <f>F5*x_pm_T</f>
        <v/>
      </c>
      <c r="K5" s="13">
        <f>SUM(G5:J5)</f>
        <v/>
      </c>
      <c r="L5" s="7">
        <f>B5*K5</f>
        <v/>
      </c>
      <c r="M5" s="9" t="n">
        <v>0.75</v>
      </c>
    </row>
    <row r="6">
      <c r="A6" s="2" t="inlineStr">
        <is>
          <t>DevOps</t>
        </is>
      </c>
      <c r="B6" s="9">
        <f>x_rate_OPS</f>
        <v/>
      </c>
      <c r="C6" s="12" t="n">
        <v>0.25</v>
      </c>
      <c r="D6" s="12" t="n">
        <v>0.5</v>
      </c>
      <c r="E6" s="12" t="n">
        <v>0.5</v>
      </c>
      <c r="F6" s="12" t="n">
        <v>0.5</v>
      </c>
      <c r="G6" s="13">
        <f>C6*x_pm_A</f>
        <v/>
      </c>
      <c r="H6" s="13">
        <f>D6*x_pm_D</f>
        <v/>
      </c>
      <c r="I6" s="13">
        <f>E6*x_pm_B</f>
        <v/>
      </c>
      <c r="J6" s="13">
        <f>F6*x_pm_T</f>
        <v/>
      </c>
      <c r="K6" s="13">
        <f>SUM(G6:J6)</f>
        <v/>
      </c>
      <c r="L6" s="7">
        <f>B6*K6</f>
        <v/>
      </c>
      <c r="M6" s="9" t="n">
        <v>0.5</v>
      </c>
    </row>
    <row r="7">
      <c r="A7" s="2" t="inlineStr">
        <is>
          <t>Разом</t>
        </is>
      </c>
      <c r="B7" s="2" t="n"/>
      <c r="C7" s="9">
        <f>SUM(C2:C6)</f>
        <v/>
      </c>
      <c r="D7" s="9">
        <f>SUM(D2:D6)</f>
        <v/>
      </c>
      <c r="E7" s="9">
        <f>SUM(E2:E6)</f>
        <v/>
      </c>
      <c r="F7" s="9">
        <f>SUM(F2:F6)</f>
        <v/>
      </c>
      <c r="G7" s="13">
        <f>SUM(G2:G6)</f>
        <v/>
      </c>
      <c r="H7" s="13">
        <f>SUM(H2:H6)</f>
        <v/>
      </c>
      <c r="I7" s="13">
        <f>SUM(I2:I6)</f>
        <v/>
      </c>
      <c r="J7" s="13">
        <f>SUM(J2:J6)</f>
        <v/>
      </c>
      <c r="K7" s="13">
        <f>SUM(K2:K6)</f>
        <v/>
      </c>
      <c r="L7" s="7">
        <f>SUM(L2:L6)</f>
        <v/>
      </c>
      <c r="M7" s="9">
        <f>SUM(M2:M6)</f>
        <v/>
      </c>
    </row>
    <row r="9">
      <c r="A9" s="2" t="inlineStr">
        <is>
          <t>Вартість команди за повний місяць фази</t>
        </is>
      </c>
      <c r="B9" s="2" t="n"/>
      <c r="C9" s="14">
        <f>SUMPRODUCT($B$2:$B$6,C2:C6)</f>
        <v/>
      </c>
      <c r="D9" s="14">
        <f>SUMPRODUCT($B$2:$B$6,D2:D6)</f>
        <v/>
      </c>
      <c r="E9" s="14">
        <f>SUMPRODUCT($B$2:$B$6,E2:E6)</f>
        <v/>
      </c>
      <c r="F9" s="14">
        <f>SUMPRODUCT($B$2:$B$6,F2:F6)</f>
        <v/>
      </c>
    </row>
    <row r="10">
      <c r="A10" s="2" t="inlineStr">
        <is>
          <t>Вартість фази, EUR</t>
        </is>
      </c>
      <c r="B10" s="2" t="n"/>
      <c r="C10" s="14">
        <f>SUMPRODUCT($B$2:$B$6,G2:G6)</f>
        <v/>
      </c>
      <c r="D10" s="14">
        <f>SUMPRODUCT($B$2:$B$6,H2:H6)</f>
        <v/>
      </c>
      <c r="E10" s="14">
        <f>SUMPRODUCT($B$2:$B$6,I2:I6)</f>
        <v/>
      </c>
      <c r="F10" s="14">
        <f>SUMPRODUCT($B$2:$B$6,J2:J6)</f>
        <v/>
      </c>
    </row>
    <row r="11">
      <c r="A11" s="2" t="inlineStr">
        <is>
          <t>Команда за FTE ЛР № 2, EUR/міс.</t>
        </is>
      </c>
      <c r="B11" s="2" t="n"/>
      <c r="C11" s="14">
        <f>SUMPRODUCT($B$2:$B$6,$M$2:$M$6)</f>
        <v/>
      </c>
      <c r="D11" s="2" t="n"/>
      <c r="E11" s="2" t="n"/>
      <c r="F11" s="2" t="n"/>
    </row>
  </sheetData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4" customWidth="1" min="3" max="3"/>
    <col width="26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Стаття</t>
        </is>
      </c>
      <c r="B1" s="1" t="inlineStr">
        <is>
          <t>Позиція</t>
        </is>
      </c>
      <c r="C1" s="1" t="inlineStr">
        <is>
          <t>Місяць</t>
        </is>
      </c>
      <c r="D1" s="1" t="inlineStr">
        <is>
          <t>Сума, EUR</t>
        </is>
      </c>
    </row>
    <row r="2">
      <c r="A2" s="2" t="inlineStr">
        <is>
          <t>Обладнання</t>
        </is>
      </c>
      <c r="B2" s="2" t="inlineStr">
        <is>
          <t>Прототип шлюзу: мінікомп'ютер, адаптер RS-485, LTE модем, 3 лічильники</t>
        </is>
      </c>
      <c r="C2" s="9" t="n">
        <v>1</v>
      </c>
      <c r="D2" s="12" t="n">
        <v>1200</v>
      </c>
    </row>
    <row r="3">
      <c r="A3" s="2" t="inlineStr">
        <is>
          <t>Обладнання</t>
        </is>
      </c>
      <c r="B3" s="2" t="inlineStr">
        <is>
          <t>Тест-стенд: 6 типів лічильників, імітатор обривів</t>
        </is>
      </c>
      <c r="C3" s="9" t="n">
        <v>2</v>
      </c>
      <c r="D3" s="12" t="n">
        <v>2000</v>
      </c>
    </row>
    <row r="4">
      <c r="A4" s="2" t="inlineStr">
        <is>
          <t>Обладнання</t>
        </is>
      </c>
      <c r="B4" s="2" t="inlineStr">
        <is>
          <t>Шлюз і монтажні матеріали пілотної будівлі</t>
        </is>
      </c>
      <c r="C4" s="9" t="n">
        <v>4</v>
      </c>
      <c r="D4" s="12" t="n">
        <v>800</v>
      </c>
    </row>
    <row r="5">
      <c r="A5" s="2" t="inlineStr">
        <is>
          <t>Ліцензії</t>
        </is>
      </c>
      <c r="B5" s="2" t="inlineStr">
        <is>
          <t>Інструменти розробки, репозиторій, трекер задач і CI на 5 осіб</t>
        </is>
      </c>
      <c r="C5" s="9" t="n">
        <v>1</v>
      </c>
      <c r="D5" s="12" t="n">
        <v>2500</v>
      </c>
    </row>
    <row r="6">
      <c r="A6" s="2" t="inlineStr">
        <is>
          <t>Ліцензії</t>
        </is>
      </c>
      <c r="B6" s="2" t="inlineStr">
        <is>
          <t>ПЗ тест-стенда: аналізатор і симулятор Modbus</t>
        </is>
      </c>
      <c r="C6" s="9" t="n">
        <v>2</v>
      </c>
      <c r="D6" s="12" t="n">
        <v>1500</v>
      </c>
    </row>
    <row r="7">
      <c r="A7" s="2" t="inlineStr">
        <is>
          <t>Ліцензії</t>
        </is>
      </c>
      <c r="B7" s="2" t="inlineStr">
        <is>
          <t>Бібліотека графіків дашборда, комерційна ліцензія</t>
        </is>
      </c>
      <c r="C7" s="9" t="n">
        <v>4</v>
      </c>
      <c r="D7" s="12" t="n">
        <v>1000</v>
      </c>
    </row>
    <row r="8">
      <c r="A8" s="2" t="inlineStr">
        <is>
          <t>Ліцензії</t>
        </is>
      </c>
      <c r="B8" s="2" t="inlineStr">
        <is>
          <t>Навантажувальне і безпекове тестування: хмарний сервіс k6 і сканер вразливостей</t>
        </is>
      </c>
      <c r="C8" s="9" t="n">
        <v>6</v>
      </c>
      <c r="D8" s="12" t="n">
        <v>2000</v>
      </c>
    </row>
    <row r="9">
      <c r="A9" s="2" t="inlineStr">
        <is>
          <t>Cloud розроблення</t>
        </is>
      </c>
      <c r="B9" s="2" t="inlineStr">
        <is>
          <t>dev і stage, CI, тестовий брокер</t>
        </is>
      </c>
      <c r="C9" s="9" t="n">
        <v>1</v>
      </c>
      <c r="D9" s="12" t="n">
        <v>200</v>
      </c>
    </row>
    <row r="10">
      <c r="A10" s="2" t="inlineStr">
        <is>
          <t>Cloud розроблення</t>
        </is>
      </c>
      <c r="B10" s="2" t="inlineStr">
        <is>
          <t>dev і stage, CI, тестовий брокер</t>
        </is>
      </c>
      <c r="C10" s="9" t="n">
        <v>2</v>
      </c>
      <c r="D10" s="12" t="n">
        <v>400</v>
      </c>
    </row>
    <row r="11">
      <c r="A11" s="2" t="inlineStr">
        <is>
          <t>Cloud розроблення</t>
        </is>
      </c>
      <c r="B11" s="2" t="inlineStr">
        <is>
          <t>dev і stage, CI, тестовий брокер</t>
        </is>
      </c>
      <c r="C11" s="9" t="n">
        <v>3</v>
      </c>
      <c r="D11" s="12" t="n">
        <v>600</v>
      </c>
    </row>
    <row r="12">
      <c r="A12" s="2" t="inlineStr">
        <is>
          <t>Cloud розроблення</t>
        </is>
      </c>
      <c r="B12" s="2" t="inlineStr">
        <is>
          <t>dev і stage, CI, тестовий брокер</t>
        </is>
      </c>
      <c r="C12" s="9" t="n">
        <v>4</v>
      </c>
      <c r="D12" s="12" t="n">
        <v>600</v>
      </c>
    </row>
    <row r="13">
      <c r="A13" s="2" t="inlineStr">
        <is>
          <t>Cloud розроблення</t>
        </is>
      </c>
      <c r="B13" s="2" t="inlineStr">
        <is>
          <t>dev і stage, CI, тестовий брокер</t>
        </is>
      </c>
      <c r="C13" s="9" t="n">
        <v>5</v>
      </c>
      <c r="D13" s="12" t="n">
        <v>800</v>
      </c>
    </row>
    <row r="14">
      <c r="A14" s="2" t="inlineStr">
        <is>
          <t>Cloud розроблення</t>
        </is>
      </c>
      <c r="B14" s="2" t="inlineStr">
        <is>
          <t>dev і stage, CI, тестовий брокер</t>
        </is>
      </c>
      <c r="C14" s="9" t="n">
        <v>6</v>
      </c>
      <c r="D14" s="12" t="n">
        <v>1000</v>
      </c>
    </row>
    <row r="15">
      <c r="A15" s="2" t="inlineStr">
        <is>
          <t>Cloud розроблення</t>
        </is>
      </c>
      <c r="B15" s="2" t="inlineStr">
        <is>
          <t>dev і stage, CI, тестовий брокер</t>
        </is>
      </c>
      <c r="C15" s="9" t="n">
        <v>7</v>
      </c>
      <c r="D15" s="12" t="n">
        <v>400</v>
      </c>
    </row>
    <row r="17">
      <c r="A17" s="1" t="inlineStr">
        <is>
          <t>ID</t>
        </is>
      </c>
      <c r="B17" s="1" t="inlineStr">
        <is>
          <t>Ризик</t>
        </is>
      </c>
      <c r="C17" s="1" t="inlineStr">
        <is>
          <t>Імовірність</t>
        </is>
      </c>
      <c r="D17" s="1" t="inlineStr">
        <is>
          <t>Вплив, EUR</t>
        </is>
      </c>
      <c r="E17" s="1" t="inlineStr">
        <is>
          <t>EMV, EUR</t>
        </is>
      </c>
      <c r="F17" s="1" t="inlineStr">
        <is>
          <t>Місяць реакції</t>
        </is>
      </c>
      <c r="G17" s="1" t="inlineStr">
        <is>
          <t>Довідково</t>
        </is>
      </c>
    </row>
    <row r="18">
      <c r="A18" s="2" t="inlineStr">
        <is>
          <t>R1</t>
        </is>
      </c>
      <c r="B18" s="2" t="inlineStr">
        <is>
          <t>Нестабільні лічильники (варіант)</t>
        </is>
      </c>
      <c r="C18" s="15">
        <f>x_r1_p</f>
        <v/>
      </c>
      <c r="D18" s="7">
        <f>x_r1_impact</f>
        <v/>
      </c>
      <c r="E18" s="7">
        <f>C18*D18</f>
        <v/>
      </c>
      <c r="F18" s="9">
        <f>x_r1_month</f>
        <v/>
      </c>
      <c r="G18" s="7">
        <f>x_team_month*x_mr_days/x_days_avg</f>
        <v/>
      </c>
    </row>
    <row r="19">
      <c r="A19" s="2" t="inlineStr">
        <is>
          <t>R2</t>
        </is>
      </c>
      <c r="B19" s="2" t="inlineStr">
        <is>
          <t>Вибуття розробника</t>
        </is>
      </c>
      <c r="C19" s="15">
        <f>x_r2_p</f>
        <v/>
      </c>
      <c r="D19" s="7">
        <f>x_rate_DEV+x_team_month*x_r2_days/x_days_avg</f>
        <v/>
      </c>
      <c r="E19" s="7">
        <f>C19*D19</f>
        <v/>
      </c>
      <c r="F19" s="2" t="inlineStr">
        <is>
          <t>немає</t>
        </is>
      </c>
      <c r="G19" s="8">
        <f>1-(1-x_r2_turnover)^(2*x_months_total/12)</f>
        <v/>
      </c>
    </row>
    <row r="21">
      <c r="A21" s="1" t="inlineStr">
        <is>
          <t>Стаття</t>
        </is>
      </c>
      <c r="B21" s="1" t="inlineStr">
        <is>
          <t>Сума, EUR</t>
        </is>
      </c>
      <c r="C21" s="1" t="inlineStr">
        <is>
          <t>Додаємо окремо?</t>
        </is>
      </c>
      <c r="D21" s="1" t="inlineStr">
        <is>
          <t>Підстава</t>
        </is>
      </c>
    </row>
    <row r="22">
      <c r="A22" s="2" t="inlineStr">
        <is>
          <t>Loaded labor</t>
        </is>
      </c>
      <c r="B22" s="7">
        <f>x_labor</f>
        <v/>
      </c>
      <c r="C22" s="2" t="inlineStr">
        <is>
          <t>ні, базова стаття</t>
        </is>
      </c>
      <c r="D22" s="2" t="inlineStr">
        <is>
          <t>аркуш Labor</t>
        </is>
      </c>
    </row>
    <row r="23">
      <c r="A23" s="2" t="inlineStr">
        <is>
          <t>Обладнання</t>
        </is>
      </c>
      <c r="B23" s="7">
        <f>SUMIF(A2:A15,"Обладнання",D2:D15)</f>
        <v/>
      </c>
      <c r="C23" s="2" t="inlineStr">
        <is>
          <t>так, не входить у ставку</t>
        </is>
      </c>
      <c r="D23" s="2" t="inlineStr">
        <is>
          <t>варіант 14</t>
        </is>
      </c>
    </row>
    <row r="24">
      <c r="A24" s="2" t="inlineStr">
        <is>
          <t>Ліцензії</t>
        </is>
      </c>
      <c r="B24" s="7">
        <f>SUMIF(A2:A15,"Ліцензії",D2:D15)</f>
        <v/>
      </c>
      <c r="C24" s="2" t="inlineStr">
        <is>
          <t>так, не входить у ставку</t>
        </is>
      </c>
      <c r="D24" s="2" t="inlineStr">
        <is>
          <t>варіант 14</t>
        </is>
      </c>
    </row>
    <row r="25">
      <c r="A25" s="2" t="inlineStr">
        <is>
          <t>Cloud розроблення</t>
        </is>
      </c>
      <c r="B25" s="7">
        <f>SUMIF(A2:A15,"Cloud розроблення",D2:D15)</f>
        <v/>
      </c>
      <c r="C25" s="2" t="inlineStr">
        <is>
          <t>так</t>
        </is>
      </c>
      <c r="D25" s="2" t="inlineStr">
        <is>
          <t>варіант 14</t>
        </is>
      </c>
    </row>
    <row r="26">
      <c r="A26" s="2" t="inlineStr">
        <is>
          <t>Base cost estimate MVP</t>
        </is>
      </c>
      <c r="B26" s="7">
        <f>SUM(B22:B25)</f>
        <v/>
      </c>
      <c r="C26" s="2" t="inlineStr"/>
      <c r="D26" s="2" t="inlineStr">
        <is>
          <t>labor + прямі</t>
        </is>
      </c>
    </row>
    <row r="27">
      <c r="A27" s="2" t="inlineStr">
        <is>
          <t>Contingency</t>
        </is>
      </c>
      <c r="B27" s="7">
        <f>SUM(E18:E19)</f>
        <v/>
      </c>
      <c r="C27" s="2" t="inlineStr">
        <is>
          <t>так</t>
        </is>
      </c>
      <c r="D27" s="2" t="inlineStr">
        <is>
          <t>EMV R1 + EMV R2</t>
        </is>
      </c>
    </row>
    <row r="28">
      <c r="A28" s="2" t="inlineStr">
        <is>
          <t>Cost baseline MVP</t>
        </is>
      </c>
      <c r="B28" s="7">
        <f>B26+B27</f>
        <v/>
      </c>
      <c r="C28" s="2" t="inlineStr"/>
      <c r="D28" s="2" t="inlineStr">
        <is>
          <t>base estimate + contingency</t>
        </is>
      </c>
    </row>
    <row r="29">
      <c r="A29" s="2" t="inlineStr">
        <is>
          <t>Management reserve</t>
        </is>
      </c>
      <c r="B29" s="7">
        <f>D18-E18</f>
        <v/>
      </c>
      <c r="C29" s="2" t="inlineStr">
        <is>
          <t>окремо</t>
        </is>
      </c>
      <c r="D29" s="2" t="inlineStr">
        <is>
          <t>R1: вплив мінус EMV</t>
        </is>
      </c>
    </row>
    <row r="30">
      <c r="A30" s="2" t="inlineStr">
        <is>
          <t>Project budget</t>
        </is>
      </c>
      <c r="B30" s="7">
        <f>B28+B29</f>
        <v/>
      </c>
      <c r="C30" s="2" t="inlineStr"/>
      <c r="D30" s="2" t="inlineStr">
        <is>
          <t>cost baseline + MR</t>
        </is>
      </c>
    </row>
  </sheetData>
  <pageMargins left="0.3" right="0.3" top="0.4" bottom="0.4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Стаття, EUR</t>
        </is>
      </c>
      <c r="B1" s="1" t="inlineStr">
        <is>
          <t>M1 лис 26</t>
        </is>
      </c>
      <c r="C1" s="1" t="inlineStr">
        <is>
          <t>M2 гру 26</t>
        </is>
      </c>
      <c r="D1" s="1" t="inlineStr">
        <is>
          <t>M3 січ 27</t>
        </is>
      </c>
      <c r="E1" s="1" t="inlineStr">
        <is>
          <t>M4 лют 27</t>
        </is>
      </c>
      <c r="F1" s="1" t="inlineStr">
        <is>
          <t>M5 бер 27</t>
        </is>
      </c>
      <c r="G1" s="1" t="inlineStr">
        <is>
          <t>M6 кві 27</t>
        </is>
      </c>
      <c r="H1" s="1" t="inlineStr">
        <is>
          <t>M7 тра 27</t>
        </is>
      </c>
      <c r="I1" s="1" t="inlineStr">
        <is>
          <t>M8 чер 27</t>
        </is>
      </c>
      <c r="J1" s="1" t="inlineStr">
        <is>
          <t>M9 лип 27</t>
        </is>
      </c>
      <c r="K1" s="1" t="inlineStr">
        <is>
          <t>M10 сер 27</t>
        </is>
      </c>
      <c r="L1" s="1" t="inlineStr">
        <is>
          <t>M11 вер 27</t>
        </is>
      </c>
      <c r="M1" s="1" t="inlineStr">
        <is>
          <t>M12 жов 27</t>
        </is>
      </c>
      <c r="N1" s="1" t="inlineStr">
        <is>
          <t>Разом</t>
        </is>
      </c>
    </row>
    <row r="2">
      <c r="A2" s="2" t="inlineStr">
        <is>
          <t>Labor MVP</t>
        </is>
      </c>
      <c r="B2" s="14">
        <f>SUMPRODUCT('Календар і фази'!G9:J9,Labor!$C$9:$F$9)</f>
        <v/>
      </c>
      <c r="C2" s="14">
        <f>SUMPRODUCT('Календар і фази'!G10:J10,Labor!$C$9:$F$9)</f>
        <v/>
      </c>
      <c r="D2" s="14">
        <f>SUMPRODUCT('Календар і фази'!G11:J11,Labor!$C$9:$F$9)</f>
        <v/>
      </c>
      <c r="E2" s="14">
        <f>SUMPRODUCT('Календар і фази'!G12:J12,Labor!$C$9:$F$9)</f>
        <v/>
      </c>
      <c r="F2" s="14">
        <f>SUMPRODUCT('Календар і фази'!G13:J13,Labor!$C$9:$F$9)</f>
        <v/>
      </c>
      <c r="G2" s="14">
        <f>SUMPRODUCT('Календар і фази'!G14:J14,Labor!$C$9:$F$9)</f>
        <v/>
      </c>
      <c r="H2" s="14">
        <f>SUMPRODUCT('Календар і фази'!G15:J15,Labor!$C$9:$F$9)</f>
        <v/>
      </c>
      <c r="I2" s="14">
        <f>SUMPRODUCT('Календар і фази'!G16:J16,Labor!$C$9:$F$9)</f>
        <v/>
      </c>
      <c r="J2" s="14">
        <f>SUMPRODUCT('Календар і фази'!G17:J17,Labor!$C$9:$F$9)</f>
        <v/>
      </c>
      <c r="K2" s="14">
        <f>SUMPRODUCT('Календар і фази'!G18:J18,Labor!$C$9:$F$9)</f>
        <v/>
      </c>
      <c r="L2" s="14">
        <f>SUMPRODUCT('Календар і фази'!G19:J19,Labor!$C$9:$F$9)</f>
        <v/>
      </c>
      <c r="M2" s="14">
        <f>SUMPRODUCT('Календар і фази'!G20:J20,Labor!$C$9:$F$9)</f>
        <v/>
      </c>
      <c r="N2" s="14">
        <f>SUM(B2:M2)</f>
        <v/>
      </c>
    </row>
    <row r="3">
      <c r="A3" s="2" t="inlineStr">
        <is>
          <t>Обладнання / ліцензії</t>
        </is>
      </c>
      <c r="B3" s="14">
        <f>SUMIF('Baseline MVP'!$C$2:$C$15,1,'Baseline MVP'!$D$2:$D$15)-SUMIFS('Baseline MVP'!$D$2:$D$15,'Baseline MVP'!$C$2:$C$15,1,'Baseline MVP'!$A$2:$A$15,"Cloud розроблення")</f>
        <v/>
      </c>
      <c r="C3" s="14">
        <f>SUMIF('Baseline MVP'!$C$2:$C$15,2,'Baseline MVP'!$D$2:$D$15)-SUMIFS('Baseline MVP'!$D$2:$D$15,'Baseline MVP'!$C$2:$C$15,2,'Baseline MVP'!$A$2:$A$15,"Cloud розроблення")</f>
        <v/>
      </c>
      <c r="D3" s="14">
        <f>SUMIF('Baseline MVP'!$C$2:$C$15,3,'Baseline MVP'!$D$2:$D$15)-SUMIFS('Baseline MVP'!$D$2:$D$15,'Baseline MVP'!$C$2:$C$15,3,'Baseline MVP'!$A$2:$A$15,"Cloud розроблення")</f>
        <v/>
      </c>
      <c r="E3" s="14">
        <f>SUMIF('Baseline MVP'!$C$2:$C$15,4,'Baseline MVP'!$D$2:$D$15)-SUMIFS('Baseline MVP'!$D$2:$D$15,'Baseline MVP'!$C$2:$C$15,4,'Baseline MVP'!$A$2:$A$15,"Cloud розроблення")</f>
        <v/>
      </c>
      <c r="F3" s="14">
        <f>SUMIF('Baseline MVP'!$C$2:$C$15,5,'Baseline MVP'!$D$2:$D$15)-SUMIFS('Baseline MVP'!$D$2:$D$15,'Baseline MVP'!$C$2:$C$15,5,'Baseline MVP'!$A$2:$A$15,"Cloud розроблення")</f>
        <v/>
      </c>
      <c r="G3" s="14">
        <f>SUMIF('Baseline MVP'!$C$2:$C$15,6,'Baseline MVP'!$D$2:$D$15)-SUMIFS('Baseline MVP'!$D$2:$D$15,'Baseline MVP'!$C$2:$C$15,6,'Baseline MVP'!$A$2:$A$15,"Cloud розроблення")</f>
        <v/>
      </c>
      <c r="H3" s="14">
        <f>SUMIF('Baseline MVP'!$C$2:$C$15,7,'Baseline MVP'!$D$2:$D$15)-SUMIFS('Baseline MVP'!$D$2:$D$15,'Baseline MVP'!$C$2:$C$15,7,'Baseline MVP'!$A$2:$A$15,"Cloud розроблення")</f>
        <v/>
      </c>
      <c r="I3" s="14">
        <f>SUMIF('Baseline MVP'!$C$2:$C$15,8,'Baseline MVP'!$D$2:$D$15)-SUMIFS('Baseline MVP'!$D$2:$D$15,'Baseline MVP'!$C$2:$C$15,8,'Baseline MVP'!$A$2:$A$15,"Cloud розроблення")</f>
        <v/>
      </c>
      <c r="J3" s="14">
        <f>SUMIF('Baseline MVP'!$C$2:$C$15,9,'Baseline MVP'!$D$2:$D$15)-SUMIFS('Baseline MVP'!$D$2:$D$15,'Baseline MVP'!$C$2:$C$15,9,'Baseline MVP'!$A$2:$A$15,"Cloud розроблення")</f>
        <v/>
      </c>
      <c r="K3" s="14">
        <f>SUMIF('Baseline MVP'!$C$2:$C$15,10,'Baseline MVP'!$D$2:$D$15)-SUMIFS('Baseline MVP'!$D$2:$D$15,'Baseline MVP'!$C$2:$C$15,10,'Baseline MVP'!$A$2:$A$15,"Cloud розроблення")</f>
        <v/>
      </c>
      <c r="L3" s="14">
        <f>SUMIF('Baseline MVP'!$C$2:$C$15,11,'Baseline MVP'!$D$2:$D$15)-SUMIFS('Baseline MVP'!$D$2:$D$15,'Baseline MVP'!$C$2:$C$15,11,'Baseline MVP'!$A$2:$A$15,"Cloud розроблення")</f>
        <v/>
      </c>
      <c r="M3" s="14">
        <f>SUMIF('Baseline MVP'!$C$2:$C$15,12,'Baseline MVP'!$D$2:$D$15)-SUMIFS('Baseline MVP'!$D$2:$D$15,'Baseline MVP'!$C$2:$C$15,12,'Baseline MVP'!$A$2:$A$15,"Cloud розроблення")</f>
        <v/>
      </c>
      <c r="N3" s="14">
        <f>SUM(B3:M3)</f>
        <v/>
      </c>
    </row>
    <row r="4">
      <c r="A4" s="2" t="inlineStr">
        <is>
          <t>Cloud розроблення / operation</t>
        </is>
      </c>
      <c r="B4" s="14">
        <f>SUMIFS('Baseline MVP'!$D$2:$D$15,'Baseline MVP'!$C$2:$C$15,1,'Baseline MVP'!$A$2:$A$15,"Cloud розроблення")+x_cloud_y1/12*'Календар і фази'!K9</f>
        <v/>
      </c>
      <c r="C4" s="14">
        <f>SUMIFS('Baseline MVP'!$D$2:$D$15,'Baseline MVP'!$C$2:$C$15,2,'Baseline MVP'!$A$2:$A$15,"Cloud розроблення")+x_cloud_y1/12*'Календар і фази'!K10</f>
        <v/>
      </c>
      <c r="D4" s="14">
        <f>SUMIFS('Baseline MVP'!$D$2:$D$15,'Baseline MVP'!$C$2:$C$15,3,'Baseline MVP'!$A$2:$A$15,"Cloud розроблення")+x_cloud_y1/12*'Календар і фази'!K11</f>
        <v/>
      </c>
      <c r="E4" s="14">
        <f>SUMIFS('Baseline MVP'!$D$2:$D$15,'Baseline MVP'!$C$2:$C$15,4,'Baseline MVP'!$A$2:$A$15,"Cloud розроблення")+x_cloud_y1/12*'Календар і фази'!K12</f>
        <v/>
      </c>
      <c r="F4" s="14">
        <f>SUMIFS('Baseline MVP'!$D$2:$D$15,'Baseline MVP'!$C$2:$C$15,5,'Baseline MVP'!$A$2:$A$15,"Cloud розроблення")+x_cloud_y1/12*'Календар і фази'!K13</f>
        <v/>
      </c>
      <c r="G4" s="14">
        <f>SUMIFS('Baseline MVP'!$D$2:$D$15,'Baseline MVP'!$C$2:$C$15,6,'Baseline MVP'!$A$2:$A$15,"Cloud розроблення")+x_cloud_y1/12*'Календар і фази'!K14</f>
        <v/>
      </c>
      <c r="H4" s="14">
        <f>SUMIFS('Baseline MVP'!$D$2:$D$15,'Baseline MVP'!$C$2:$C$15,7,'Baseline MVP'!$A$2:$A$15,"Cloud розроблення")+x_cloud_y1/12*'Календар і фази'!K15</f>
        <v/>
      </c>
      <c r="I4" s="14">
        <f>SUMIFS('Baseline MVP'!$D$2:$D$15,'Baseline MVP'!$C$2:$C$15,8,'Baseline MVP'!$A$2:$A$15,"Cloud розроблення")+x_cloud_y1/12*'Календар і фази'!K16</f>
        <v/>
      </c>
      <c r="J4" s="14">
        <f>SUMIFS('Baseline MVP'!$D$2:$D$15,'Baseline MVP'!$C$2:$C$15,9,'Baseline MVP'!$A$2:$A$15,"Cloud розроблення")+x_cloud_y1/12*'Календар і фази'!K17</f>
        <v/>
      </c>
      <c r="K4" s="14">
        <f>SUMIFS('Baseline MVP'!$D$2:$D$15,'Baseline MVP'!$C$2:$C$15,10,'Baseline MVP'!$A$2:$A$15,"Cloud розроблення")+x_cloud_y1/12*'Календар і фази'!K18</f>
        <v/>
      </c>
      <c r="L4" s="14">
        <f>SUMIFS('Baseline MVP'!$D$2:$D$15,'Baseline MVP'!$C$2:$C$15,11,'Baseline MVP'!$A$2:$A$15,"Cloud розроблення")+x_cloud_y1/12*'Календар і фази'!K19</f>
        <v/>
      </c>
      <c r="M4" s="14">
        <f>SUMIFS('Baseline MVP'!$D$2:$D$15,'Baseline MVP'!$C$2:$C$15,12,'Baseline MVP'!$A$2:$A$15,"Cloud розроблення")+x_cloud_y1/12*'Календар і фази'!K20</f>
        <v/>
      </c>
      <c r="N4" s="14">
        <f>SUM(B4:M4)</f>
        <v/>
      </c>
    </row>
    <row r="5">
      <c r="A5" s="2" t="inlineStr">
        <is>
          <t>Support і change після релізу</t>
        </is>
      </c>
      <c r="B5" s="14">
        <f>(TCO!$H$4+TCO!$H$5)/12*'Календар і фази'!K9</f>
        <v/>
      </c>
      <c r="C5" s="14">
        <f>(TCO!$H$4+TCO!$H$5)/12*'Календар і фази'!K10</f>
        <v/>
      </c>
      <c r="D5" s="14">
        <f>(TCO!$H$4+TCO!$H$5)/12*'Календар і фази'!K11</f>
        <v/>
      </c>
      <c r="E5" s="14">
        <f>(TCO!$H$4+TCO!$H$5)/12*'Календар і фази'!K12</f>
        <v/>
      </c>
      <c r="F5" s="14">
        <f>(TCO!$H$4+TCO!$H$5)/12*'Календар і фази'!K13</f>
        <v/>
      </c>
      <c r="G5" s="14">
        <f>(TCO!$H$4+TCO!$H$5)/12*'Календар і фази'!K14</f>
        <v/>
      </c>
      <c r="H5" s="14">
        <f>(TCO!$H$4+TCO!$H$5)/12*'Календар і фази'!K15</f>
        <v/>
      </c>
      <c r="I5" s="14">
        <f>(TCO!$H$4+TCO!$H$5)/12*'Календар і фази'!K16</f>
        <v/>
      </c>
      <c r="J5" s="14">
        <f>(TCO!$H$4+TCO!$H$5)/12*'Календар і фази'!K17</f>
        <v/>
      </c>
      <c r="K5" s="14">
        <f>(TCO!$H$4+TCO!$H$5)/12*'Календар і фази'!K18</f>
        <v/>
      </c>
      <c r="L5" s="14">
        <f>(TCO!$H$4+TCO!$H$5)/12*'Календар і фази'!K19</f>
        <v/>
      </c>
      <c r="M5" s="14">
        <f>(TCO!$H$4+TCO!$H$5)/12*'Календар і фази'!K20</f>
        <v/>
      </c>
      <c r="N5" s="14">
        <f>SUM(B5:M5)</f>
        <v/>
      </c>
    </row>
    <row r="6">
      <c r="A6" s="2" t="inlineStr">
        <is>
          <t>Використання резерву</t>
        </is>
      </c>
      <c r="B6" s="14">
        <f>SUMIF('Baseline MVP'!$F$18:$F$19,1,'Baseline MVP'!$E$18:$E$19)</f>
        <v/>
      </c>
      <c r="C6" s="14">
        <f>SUMIF('Baseline MVP'!$F$18:$F$19,2,'Baseline MVP'!$E$18:$E$19)</f>
        <v/>
      </c>
      <c r="D6" s="14">
        <f>SUMIF('Baseline MVP'!$F$18:$F$19,3,'Baseline MVP'!$E$18:$E$19)</f>
        <v/>
      </c>
      <c r="E6" s="14">
        <f>SUMIF('Baseline MVP'!$F$18:$F$19,4,'Baseline MVP'!$E$18:$E$19)</f>
        <v/>
      </c>
      <c r="F6" s="14">
        <f>SUMIF('Baseline MVP'!$F$18:$F$19,5,'Baseline MVP'!$E$18:$E$19)</f>
        <v/>
      </c>
      <c r="G6" s="14">
        <f>SUMIF('Baseline MVP'!$F$18:$F$19,6,'Baseline MVP'!$E$18:$E$19)</f>
        <v/>
      </c>
      <c r="H6" s="14">
        <f>SUMIF('Baseline MVP'!$F$18:$F$19,7,'Baseline MVP'!$E$18:$E$19)</f>
        <v/>
      </c>
      <c r="I6" s="14">
        <f>SUMIF('Baseline MVP'!$F$18:$F$19,8,'Baseline MVP'!$E$18:$E$19)</f>
        <v/>
      </c>
      <c r="J6" s="14">
        <f>SUMIF('Baseline MVP'!$F$18:$F$19,9,'Baseline MVP'!$E$18:$E$19)</f>
        <v/>
      </c>
      <c r="K6" s="14">
        <f>SUMIF('Baseline MVP'!$F$18:$F$19,10,'Baseline MVP'!$E$18:$E$19)</f>
        <v/>
      </c>
      <c r="L6" s="14">
        <f>SUMIF('Baseline MVP'!$F$18:$F$19,11,'Baseline MVP'!$E$18:$E$19)</f>
        <v/>
      </c>
      <c r="M6" s="14">
        <f>SUMIF('Baseline MVP'!$F$18:$F$19,12,'Baseline MVP'!$E$18:$E$19)</f>
        <v/>
      </c>
      <c r="N6" s="14">
        <f>SUM(B6:M6)</f>
        <v/>
      </c>
    </row>
    <row r="7">
      <c r="A7" s="2" t="inlineStr">
        <is>
          <t>Разом cash burn</t>
        </is>
      </c>
      <c r="B7" s="14">
        <f>SUM(B2:B6)</f>
        <v/>
      </c>
      <c r="C7" s="14">
        <f>SUM(C2:C6)</f>
        <v/>
      </c>
      <c r="D7" s="14">
        <f>SUM(D2:D6)</f>
        <v/>
      </c>
      <c r="E7" s="14">
        <f>SUM(E2:E6)</f>
        <v/>
      </c>
      <c r="F7" s="14">
        <f>SUM(F2:F6)</f>
        <v/>
      </c>
      <c r="G7" s="14">
        <f>SUM(G2:G6)</f>
        <v/>
      </c>
      <c r="H7" s="14">
        <f>SUM(H2:H6)</f>
        <v/>
      </c>
      <c r="I7" s="14">
        <f>SUM(I2:I6)</f>
        <v/>
      </c>
      <c r="J7" s="14">
        <f>SUM(J2:J6)</f>
        <v/>
      </c>
      <c r="K7" s="14">
        <f>SUM(K2:K6)</f>
        <v/>
      </c>
      <c r="L7" s="14">
        <f>SUM(L2:L6)</f>
        <v/>
      </c>
      <c r="M7" s="14">
        <f>SUM(M2:M6)</f>
        <v/>
      </c>
      <c r="N7" s="14">
        <f>SUM(B7:M7)</f>
        <v/>
      </c>
    </row>
    <row r="8">
      <c r="A8" s="2" t="inlineStr">
        <is>
          <t>Наростаючим підсумком</t>
        </is>
      </c>
      <c r="B8" s="14">
        <f>B7</f>
        <v/>
      </c>
      <c r="C8" s="14">
        <f>B8+C7</f>
        <v/>
      </c>
      <c r="D8" s="14">
        <f>C8+D7</f>
        <v/>
      </c>
      <c r="E8" s="14">
        <f>D8+E7</f>
        <v/>
      </c>
      <c r="F8" s="14">
        <f>E8+F7</f>
        <v/>
      </c>
      <c r="G8" s="14">
        <f>F8+G7</f>
        <v/>
      </c>
      <c r="H8" s="14">
        <f>G8+H7</f>
        <v/>
      </c>
      <c r="I8" s="14">
        <f>H8+I7</f>
        <v/>
      </c>
      <c r="J8" s="14">
        <f>I8+J7</f>
        <v/>
      </c>
      <c r="K8" s="14">
        <f>J8+K7</f>
        <v/>
      </c>
      <c r="L8" s="14">
        <f>K8+L7</f>
        <v/>
      </c>
      <c r="M8" s="14">
        <f>L8+M7</f>
        <v/>
      </c>
      <c r="N8" s="16" t="n"/>
    </row>
    <row r="9">
      <c r="A9" s="2" t="inlineStr">
        <is>
          <t>Альтернатива: разом cash burn</t>
        </is>
      </c>
      <c r="B9" s="14">
        <f>B7-x_cloud_y1/12*'Календар і фази'!K9+x_alt_op/12*'Календар і фази'!K9+IF(1=x_alt_month,x_alt_start,0)</f>
        <v/>
      </c>
      <c r="C9" s="14">
        <f>C7-x_cloud_y1/12*'Календар і фази'!K10+x_alt_op/12*'Календар і фази'!K10+IF(2=x_alt_month,x_alt_start,0)</f>
        <v/>
      </c>
      <c r="D9" s="14">
        <f>D7-x_cloud_y1/12*'Календар і фази'!K11+x_alt_op/12*'Календар і фази'!K11+IF(3=x_alt_month,x_alt_start,0)</f>
        <v/>
      </c>
      <c r="E9" s="14">
        <f>E7-x_cloud_y1/12*'Календар і фази'!K12+x_alt_op/12*'Календар і фази'!K12+IF(4=x_alt_month,x_alt_start,0)</f>
        <v/>
      </c>
      <c r="F9" s="14">
        <f>F7-x_cloud_y1/12*'Календар і фази'!K13+x_alt_op/12*'Календар і фази'!K13+IF(5=x_alt_month,x_alt_start,0)</f>
        <v/>
      </c>
      <c r="G9" s="14">
        <f>G7-x_cloud_y1/12*'Календар і фази'!K14+x_alt_op/12*'Календар і фази'!K14+IF(6=x_alt_month,x_alt_start,0)</f>
        <v/>
      </c>
      <c r="H9" s="14">
        <f>H7-x_cloud_y1/12*'Календар і фази'!K15+x_alt_op/12*'Календар і фази'!K15+IF(7=x_alt_month,x_alt_start,0)</f>
        <v/>
      </c>
      <c r="I9" s="14">
        <f>I7-x_cloud_y1/12*'Календар і фази'!K16+x_alt_op/12*'Календар і фази'!K16+IF(8=x_alt_month,x_alt_start,0)</f>
        <v/>
      </c>
      <c r="J9" s="14">
        <f>J7-x_cloud_y1/12*'Календар і фази'!K17+x_alt_op/12*'Календар і фази'!K17+IF(9=x_alt_month,x_alt_start,0)</f>
        <v/>
      </c>
      <c r="K9" s="14">
        <f>K7-x_cloud_y1/12*'Календар і фази'!K18+x_alt_op/12*'Календар і фази'!K18+IF(10=x_alt_month,x_alt_start,0)</f>
        <v/>
      </c>
      <c r="L9" s="14">
        <f>L7-x_cloud_y1/12*'Календар і фази'!K19+x_alt_op/12*'Календар і фази'!K19+IF(11=x_alt_month,x_alt_start,0)</f>
        <v/>
      </c>
      <c r="M9" s="14">
        <f>M7-x_cloud_y1/12*'Календар і фази'!K20+x_alt_op/12*'Календар і фази'!K20+IF(12=x_alt_month,x_alt_start,0)</f>
        <v/>
      </c>
      <c r="N9" s="14">
        <f>SUM(B9:M9)</f>
        <v/>
      </c>
    </row>
    <row r="11">
      <c r="A11" s="1" t="inlineStr">
        <is>
          <t>Показник</t>
        </is>
      </c>
      <c r="B11" s="1" t="inlineStr">
        <is>
          <t>Значення</t>
        </is>
      </c>
    </row>
    <row r="12">
      <c r="A12" s="2" t="inlineStr">
        <is>
          <t>Contingency, EUR</t>
        </is>
      </c>
      <c r="B12" s="7">
        <f>x_cont</f>
        <v/>
      </c>
    </row>
    <row r="13">
      <c r="A13" s="2" t="inlineStr">
        <is>
          <t>Використано в плані M1...M12, EUR</t>
        </is>
      </c>
      <c r="B13" s="7">
        <f>N6</f>
        <v/>
      </c>
    </row>
    <row r="14">
      <c r="A14" s="2" t="inlineStr">
        <is>
          <t>Залишок contingency, EUR</t>
        </is>
      </c>
      <c r="B14" s="7">
        <f>B12-B13</f>
        <v/>
      </c>
    </row>
    <row r="15">
      <c r="A15" s="2" t="inlineStr">
        <is>
          <t>Management reserve (поза baseline), EUR</t>
        </is>
      </c>
      <c r="B15" s="7">
        <f>x_mr</f>
        <v/>
      </c>
    </row>
    <row r="16">
      <c r="A16" s="2" t="inlineStr">
        <is>
          <t>Місяць релізу</t>
        </is>
      </c>
      <c r="B16" s="9">
        <f>"M7, "&amp;TEXT(WORKDAY(x_start,x_bl_days-1,x_holidays),"DD.MM.YYYY")</f>
        <v/>
      </c>
    </row>
  </sheetData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1" customWidth="1" min="8" max="8"/>
    <col width="11" customWidth="1" min="9" max="9"/>
    <col width="15" customWidth="1" min="10" max="10"/>
  </cols>
  <sheetData>
    <row r="1">
      <c r="A1" s="1" t="inlineStr">
        <is>
          <t>Компонент</t>
        </is>
      </c>
      <c r="B1" s="1" t="inlineStr">
        <is>
          <t>Cloud Y1</t>
        </is>
      </c>
      <c r="C1" s="1" t="inlineStr">
        <is>
          <t>Cloud Y2</t>
        </is>
      </c>
      <c r="D1" s="1" t="inlineStr">
        <is>
          <t>Cloud Y3</t>
        </is>
      </c>
      <c r="E1" s="1" t="inlineStr">
        <is>
          <t>Альтернатива Y1</t>
        </is>
      </c>
      <c r="F1" s="1" t="inlineStr">
        <is>
          <t>Альтернатива Y2</t>
        </is>
      </c>
      <c r="G1" s="1" t="inlineStr">
        <is>
          <t>Альтернатива Y3</t>
        </is>
      </c>
      <c r="H1" s="1" t="inlineStr">
        <is>
          <t>Річна база</t>
        </is>
      </c>
      <c r="I1" s="1" t="inlineStr">
        <is>
          <t>Cloud Σ3</t>
        </is>
      </c>
      <c r="J1" s="1" t="inlineStr">
        <is>
          <t>Альтернатива Σ3</t>
        </is>
      </c>
    </row>
    <row r="2">
      <c r="A2" s="2" t="inlineStr">
        <is>
          <t>MVP / start-up</t>
        </is>
      </c>
      <c r="B2" s="14">
        <f>x_cbl</f>
        <v/>
      </c>
      <c r="C2" s="14" t="n">
        <v>0</v>
      </c>
      <c r="D2" s="14" t="n">
        <v>0</v>
      </c>
      <c r="E2" s="14">
        <f>x_cbl+x_alt_start</f>
        <v/>
      </c>
      <c r="F2" s="14" t="n">
        <v>0</v>
      </c>
      <c r="G2" s="14" t="n">
        <v>0</v>
      </c>
      <c r="H2" s="16" t="n"/>
      <c r="I2" s="14">
        <f>SUM(B2:D2)</f>
        <v/>
      </c>
      <c r="J2" s="14">
        <f>SUM(E2:G2)</f>
        <v/>
      </c>
    </row>
    <row r="3">
      <c r="A3" s="2" t="inlineStr">
        <is>
          <t>Operation</t>
        </is>
      </c>
      <c r="B3" s="14">
        <f>x_cloud_y1</f>
        <v/>
      </c>
      <c r="C3" s="14">
        <f>B3*(1+x_g2)</f>
        <v/>
      </c>
      <c r="D3" s="14">
        <f>C3*(1+x_g3)</f>
        <v/>
      </c>
      <c r="E3" s="14">
        <f>x_alt_op</f>
        <v/>
      </c>
      <c r="F3" s="14">
        <f>x_alt_op</f>
        <v/>
      </c>
      <c r="G3" s="14">
        <f>x_alt_op</f>
        <v/>
      </c>
      <c r="H3" s="16" t="n"/>
      <c r="I3" s="14">
        <f>SUM(B3:D3)</f>
        <v/>
      </c>
      <c r="J3" s="14">
        <f>SUM(E3:G3)</f>
        <v/>
      </c>
    </row>
    <row r="4">
      <c r="A4" s="2" t="inlineStr">
        <is>
          <t>Support</t>
        </is>
      </c>
      <c r="B4" s="14">
        <f>$H$4</f>
        <v/>
      </c>
      <c r="C4" s="14">
        <f>$H$4</f>
        <v/>
      </c>
      <c r="D4" s="14">
        <f>$H$4</f>
        <v/>
      </c>
      <c r="E4" s="14">
        <f>$H$4</f>
        <v/>
      </c>
      <c r="F4" s="14">
        <f>$H$4</f>
        <v/>
      </c>
      <c r="G4" s="14">
        <f>$H$4</f>
        <v/>
      </c>
      <c r="H4" s="14">
        <f>12*(x_sup_ops*x_rate_OPS+x_sup_ba*x_rate_BA)</f>
        <v/>
      </c>
      <c r="I4" s="14">
        <f>SUM(B4:D4)</f>
        <v/>
      </c>
      <c r="J4" s="14">
        <f>SUM(E4:G4)</f>
        <v/>
      </c>
    </row>
    <row r="5">
      <c r="A5" s="2" t="inlineStr">
        <is>
          <t>Change</t>
        </is>
      </c>
      <c r="B5" s="14">
        <f>$H$5</f>
        <v/>
      </c>
      <c r="C5" s="14">
        <f>$H$5</f>
        <v/>
      </c>
      <c r="D5" s="14">
        <f>$H$5</f>
        <v/>
      </c>
      <c r="E5" s="14">
        <f>$H$5</f>
        <v/>
      </c>
      <c r="F5" s="14">
        <f>$H$5</f>
        <v/>
      </c>
      <c r="G5" s="14">
        <f>$H$5</f>
        <v/>
      </c>
      <c r="H5" s="14">
        <f>12*(x_chg_dev*x_rate_DEV+x_chg_qa*x_rate_QA)</f>
        <v/>
      </c>
      <c r="I5" s="14">
        <f>SUM(B5:D5)</f>
        <v/>
      </c>
      <c r="J5" s="14">
        <f>SUM(E5:G5)</f>
        <v/>
      </c>
    </row>
    <row r="6">
      <c r="A6" s="2" t="inlineStr">
        <is>
          <t>Risk після релізу</t>
        </is>
      </c>
      <c r="B6" s="14">
        <f>x_crisk_p*x_crisk_s*B3</f>
        <v/>
      </c>
      <c r="C6" s="14">
        <f>x_crisk_p*x_crisk_s*C3</f>
        <v/>
      </c>
      <c r="D6" s="14">
        <f>x_crisk_p*x_crisk_s*D3</f>
        <v/>
      </c>
      <c r="E6" s="14">
        <f>x_arisk_p*(x_arisk_hw+x_arisk_d*x_rate_OPS/x_days_avg)</f>
        <v/>
      </c>
      <c r="F6" s="14">
        <f>x_arisk_p*(x_arisk_hw+x_arisk_d*x_rate_OPS/x_days_avg)</f>
        <v/>
      </c>
      <c r="G6" s="14">
        <f>x_arisk_p*(x_arisk_hw+x_arisk_d*x_rate_OPS/x_days_avg)</f>
        <v/>
      </c>
      <c r="H6" s="16" t="n"/>
      <c r="I6" s="14">
        <f>SUM(B6:D6)</f>
        <v/>
      </c>
      <c r="J6" s="14">
        <f>SUM(E6:G6)</f>
        <v/>
      </c>
    </row>
    <row r="7">
      <c r="A7" s="2" t="inlineStr">
        <is>
          <t>Change і risk</t>
        </is>
      </c>
      <c r="B7" s="14">
        <f>B5+B6</f>
        <v/>
      </c>
      <c r="C7" s="14">
        <f>C5+C6</f>
        <v/>
      </c>
      <c r="D7" s="14">
        <f>D5+D6</f>
        <v/>
      </c>
      <c r="E7" s="14">
        <f>E5+E6</f>
        <v/>
      </c>
      <c r="F7" s="14">
        <f>F5+F6</f>
        <v/>
      </c>
      <c r="G7" s="14">
        <f>G5+G6</f>
        <v/>
      </c>
      <c r="H7" s="16" t="n"/>
      <c r="I7" s="14">
        <f>SUM(B7:D7)</f>
        <v/>
      </c>
      <c r="J7" s="14">
        <f>SUM(E7:G7)</f>
        <v/>
      </c>
    </row>
    <row r="8">
      <c r="A8" s="2" t="inlineStr">
        <is>
          <t>Retirement</t>
        </is>
      </c>
      <c r="B8" s="14" t="n">
        <v>0</v>
      </c>
      <c r="C8" s="14" t="n">
        <v>0</v>
      </c>
      <c r="D8" s="14">
        <f>x_ret_days*x_rate_OPS/x_days_avg</f>
        <v/>
      </c>
      <c r="E8" s="14" t="n">
        <v>0</v>
      </c>
      <c r="F8" s="14" t="n">
        <v>0</v>
      </c>
      <c r="G8" s="14">
        <f>x_ret_days*x_rate_OPS/x_days_avg+x_ret_alt</f>
        <v/>
      </c>
      <c r="H8" s="16" t="n"/>
      <c r="I8" s="14">
        <f>SUM(B8:D8)</f>
        <v/>
      </c>
      <c r="J8" s="14">
        <f>SUM(E8:G8)</f>
        <v/>
      </c>
    </row>
    <row r="9">
      <c r="A9" s="2" t="inlineStr">
        <is>
          <t>Разом за рік</t>
        </is>
      </c>
      <c r="B9" s="14">
        <f>B2+B3+B4+B7+B8</f>
        <v/>
      </c>
      <c r="C9" s="14">
        <f>C2+C3+C4+C7+C8</f>
        <v/>
      </c>
      <c r="D9" s="14">
        <f>D2+D3+D4+D7+D8</f>
        <v/>
      </c>
      <c r="E9" s="14">
        <f>E2+E3+E4+E7+E8</f>
        <v/>
      </c>
      <c r="F9" s="14">
        <f>F2+F3+F4+F7+F8</f>
        <v/>
      </c>
      <c r="G9" s="14">
        <f>G2+G3+G4+G7+G8</f>
        <v/>
      </c>
      <c r="H9" s="16" t="n"/>
      <c r="I9" s="14">
        <f>SUM(B9:D9)</f>
        <v/>
      </c>
      <c r="J9" s="14">
        <f>SUM(E9:G9)</f>
        <v/>
      </c>
    </row>
    <row r="10">
      <c r="A10" s="2" t="inlineStr">
        <is>
          <t>TCO3</t>
        </is>
      </c>
      <c r="B10" s="16" t="inlineStr"/>
      <c r="C10" s="16" t="inlineStr"/>
      <c r="D10" s="14">
        <f>SUM(B9:D9)</f>
        <v/>
      </c>
      <c r="E10" s="16" t="inlineStr"/>
      <c r="F10" s="16" t="inlineStr"/>
      <c r="G10" s="14">
        <f>SUM(E9:G9)</f>
        <v/>
      </c>
      <c r="H10" s="16" t="inlineStr"/>
      <c r="I10" s="14">
        <f>I9</f>
        <v/>
      </c>
      <c r="J10" s="14">
        <f>J9</f>
        <v/>
      </c>
    </row>
    <row r="11">
      <c r="A11" s="2" t="inlineStr">
        <is>
          <t>Різниця: альтернатива мінус cloud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4">
        <f>J10-I10</f>
        <v/>
      </c>
    </row>
    <row r="12">
      <c r="A12" s="2" t="inlineStr">
        <is>
          <t>PV при ставці дисконтування</t>
        </is>
      </c>
      <c r="B12" s="16" t="inlineStr"/>
      <c r="C12" s="16" t="inlineStr"/>
      <c r="D12" s="14">
        <f>B9+C9/(1+x_disc)+D9/(1+x_disc)^2</f>
        <v/>
      </c>
      <c r="E12" s="16" t="inlineStr"/>
      <c r="F12" s="16" t="inlineStr"/>
      <c r="G12" s="14">
        <f>E9+F9/(1+x_disc)+G9/(1+x_disc)^2</f>
        <v/>
      </c>
      <c r="H12" s="16" t="n"/>
      <c r="I12" s="16" t="n"/>
      <c r="J12" s="16" t="n"/>
    </row>
    <row r="14">
      <c r="A14" s="1" t="inlineStr">
        <is>
          <t>Cloud Y1, множник</t>
        </is>
      </c>
      <c r="B14" s="1" t="inlineStr">
        <is>
          <t>Cloud Y1, EUR</t>
        </is>
      </c>
      <c r="C14" s="1" t="inlineStr">
        <is>
          <t>TCO3 cloud</t>
        </is>
      </c>
      <c r="D14" s="1" t="inlineStr">
        <is>
          <t>TCO3 альтернатива</t>
        </is>
      </c>
      <c r="E14" s="1" t="inlineStr">
        <is>
          <t>Різниця</t>
        </is>
      </c>
      <c r="F14" s="1" t="inlineStr">
        <is>
          <t>Рішення</t>
        </is>
      </c>
    </row>
    <row r="15">
      <c r="A15" s="9" t="n">
        <v>0.8</v>
      </c>
      <c r="B15" s="14">
        <f>x_cloud_y1*A15</f>
        <v/>
      </c>
      <c r="C15" s="14">
        <f>x_tco_cloud+(A15-1)*(I3+I6)</f>
        <v/>
      </c>
      <c r="D15" s="14">
        <f>x_tco_alt</f>
        <v/>
      </c>
      <c r="E15" s="14">
        <f>D15-C15</f>
        <v/>
      </c>
      <c r="F15" s="9">
        <f>IF(E15&gt;0,"cloud","альтернатива")</f>
        <v/>
      </c>
    </row>
    <row r="16">
      <c r="A16" s="9" t="n">
        <v>1</v>
      </c>
      <c r="B16" s="14">
        <f>x_cloud_y1*A16</f>
        <v/>
      </c>
      <c r="C16" s="14">
        <f>x_tco_cloud+(A16-1)*(I3+I6)</f>
        <v/>
      </c>
      <c r="D16" s="14">
        <f>x_tco_alt</f>
        <v/>
      </c>
      <c r="E16" s="14">
        <f>D16-C16</f>
        <v/>
      </c>
      <c r="F16" s="9">
        <f>IF(E16&gt;0,"cloud","альтернатива")</f>
        <v/>
      </c>
    </row>
    <row r="17">
      <c r="A17" s="9" t="n">
        <v>1.2</v>
      </c>
      <c r="B17" s="14">
        <f>x_cloud_y1*A17</f>
        <v/>
      </c>
      <c r="C17" s="14">
        <f>x_tco_cloud+(A17-1)*(I3+I6)</f>
        <v/>
      </c>
      <c r="D17" s="14">
        <f>x_tco_alt</f>
        <v/>
      </c>
      <c r="E17" s="14">
        <f>D17-C17</f>
        <v/>
      </c>
      <c r="F17" s="9">
        <f>IF(E17&gt;0,"cloud","альтернатива")</f>
        <v/>
      </c>
    </row>
    <row r="18">
      <c r="A18" s="2" t="inlineStr">
        <is>
          <t>Беззбитковий множник</t>
        </is>
      </c>
      <c r="B18" s="13">
        <f>(x_tco_alt-(x_tco_cloud-(I3+I6)))/(I3+I6)</f>
        <v/>
      </c>
      <c r="C18" s="14">
        <f>x_cloud_y1*B18</f>
        <v/>
      </c>
      <c r="D18" s="2" t="n"/>
      <c r="E18" s="2" t="n"/>
      <c r="F18" s="2" t="n"/>
    </row>
  </sheetData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2026-10-05T20:31:58Z</dcterms:created>
  <dcterms:modified xmlns:dcterms="http://purl.org/dc/terms/" xmlns:xsi="http://www.w3.org/2001/XMLSchema-instance" xsi:type="dcterms:W3CDTF">2026-10-05T20:31:58Z</dcterms:modified>
</cp:coreProperties>
</file>