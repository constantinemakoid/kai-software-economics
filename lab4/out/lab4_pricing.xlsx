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и ЛР4" sheetId="1" state="visible" r:id="rId1"/>
    <sheet xmlns:r="http://schemas.openxmlformats.org/officeDocument/2006/relationships" name="Журнал припущень" sheetId="2" state="visible" r:id="rId2"/>
    <sheet xmlns:r="http://schemas.openxmlformats.org/officeDocument/2006/relationships" name="Моделі" sheetId="3" state="visible" r:id="rId3"/>
    <sheet xmlns:r="http://schemas.openxmlformats.org/officeDocument/2006/relationships" name="Тарифи" sheetId="4" state="visible" r:id="rId4"/>
    <sheet xmlns:r="http://schemas.openxmlformats.org/officeDocument/2006/relationships" name="High usage" sheetId="5" state="visible" r:id="rId5"/>
    <sheet xmlns:r="http://schemas.openxmlformats.org/officeDocument/2006/relationships" name="Сценарії" sheetId="6" state="visible" r:id="rId6"/>
  </sheets>
  <definedNames>
    <definedName name="x4_cogs_var">'Параметри ЛР4'!$C$2</definedName>
    <definedName name="x4_gm">'Параметри ЛР4'!$C$3</definedName>
    <definedName name="x4_scale">'Параметри ЛР4'!$C$4</definedName>
    <definedName name="x4_readings">'Параметри ЛР4'!$C$5</definedName>
    <definedName name="x4_sim">'Параметри ЛР4'!$C$6</definedName>
    <definedName name="x4_sms_cost">'Параметри ЛР4'!$C$7</definedName>
    <definedName name="x4_sms_typ">'Параметри ЛР4'!$C$8</definedName>
    <definedName name="x4_sup_h">'Параметри ЛР4'!$C$9</definedName>
    <definedName name="x4_sup_rate">'Параметри ЛР4'!$C$10</definedName>
    <definedName name="x4_sms_incl">'Параметри ЛР4'!$C$11</definedName>
    <definedName name="x4_sms_price">'Параметри ЛР4'!$C$12</definedName>
    <definedName name="x4_sms_high">'Параметри ЛР4'!$C$13</definedName>
    <definedName name="x4_sup_high">'Параметри ЛР4'!$C$14</definedName>
    <definedName name="x4_fee">'Параметри ЛР4'!$C$15</definedName>
    <definedName name="x4_high_share">'Параметри ЛР4'!$C$16</definedName>
    <definedName name="x4_value">'Параметри ЛР4'!$C$17</definedName>
    <definedName name="x4_energy">'Параметри ЛР4'!$C$18</definedName>
    <definedName name="x4_gain">'Параметри ЛР4'!$C$19</definedName>
    <definedName name="x4_episode">'Параметри ЛР4'!$C$20</definedName>
    <definedName name="x4_cogs">'Параметри ЛР4'!$C$22</definedName>
    <definedName name="x4_cogs_high">'Параметри ЛР4'!$C$23</definedName>
    <definedName name="x4_over">'Параметри ЛР4'!$C$24</definedName>
    <definedName name="x4_floor_unit">'Параметри ЛР4'!$C$25</definedName>
    <definedName name="x4_mix_B">'Тарифи'!$C$5</definedName>
    <definedName name="x4_use_B">'Тарифи'!$C$6</definedName>
    <definedName name="x4_base_B">'Тарифи'!$C$2</definedName>
    <definedName name="x4_pb_B">'Тарифи'!$C$3</definedName>
    <definedName name="x4_cc_B">'Тарифи'!$C$8</definedName>
    <definedName name="x4_mix_S">'Тарифи'!$D$5</definedName>
    <definedName name="x4_use_S">'Тарифи'!$D$6</definedName>
    <definedName name="x4_base_S">'Тарифи'!$D$2</definedName>
    <definedName name="x4_pb_S">'Тарифи'!$D$3</definedName>
    <definedName name="x4_cc_S">'Тарифи'!$D$8</definedName>
    <definedName name="x4_mix_P">'Тарифи'!$E$5</definedName>
    <definedName name="x4_use_P">'Тарифи'!$E$6</definedName>
    <definedName name="x4_base_P">'Тарифи'!$E$2</definedName>
    <definedName name="x4_pb_P">'Тарифи'!$E$3</definedName>
    <definedName name="x4_cc_P">'Тарифи'!$E$8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ce8f7"/>
      </patternFill>
    </fill>
  </fills>
  <borders count="2">
    <border>
      <left/>
      <right/>
      <top/>
      <bottom/>
      <diagonal/>
    </border>
    <border>
      <left style="thin">
        <color rgb="009a9890"/>
      </left>
      <right style="thin">
        <color rgb="009a9890"/>
      </right>
      <top style="thin">
        <color rgb="009a9890"/>
      </top>
      <bottom style="thin">
        <color rgb="009a989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3" fontId="2" fillId="2" borderId="1" applyAlignment="1" pivotButton="0" quotePrefix="0" xfId="0">
      <alignment horizontal="right" vertical="top" wrapText="1"/>
    </xf>
    <xf numFmtId="2" fontId="2" fillId="2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2" borderId="1" applyAlignment="1" pivotButton="0" quotePrefix="0" xfId="0">
      <alignment horizontal="right" vertical="top" wrapText="1"/>
    </xf>
    <xf numFmtId="1" fontId="2" fillId="2" borderId="1" applyAlignment="1" pivotButton="0" quotePrefix="0" xfId="0">
      <alignment horizontal="right" vertical="top" wrapText="1"/>
    </xf>
    <xf numFmtId="165" fontId="2" fillId="2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10" fontId="2" fillId="0" borderId="1" applyAlignment="1" pivotButton="0" quotePrefix="0" xfId="0">
      <alignment horizontal="right" vertical="top" wrapText="1"/>
    </xf>
    <xf numFmtId="1" fontId="1" fillId="2" borderId="1" applyAlignment="1" pivotButton="0" quotePrefix="0" xfId="0">
      <alignment horizontal="center" vertical="top" wrapText="1"/>
    </xf>
    <xf numFmtId="9" fontId="2" fillId="2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COGS і gross profit за місяць, EUR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'Сценарії'!A13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'Сценарії'!$B$1:$D$1</f>
            </numRef>
          </cat>
          <val>
            <numRef>
              <f>'Сценарії'!$B$13:$D$13</f>
            </numRef>
          </val>
        </ser>
        <ser>
          <idx val="1"/>
          <order val="1"/>
          <tx>
            <strRef>
              <f>'Сценарії'!A16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'Сценарії'!$B$1:$D$1</f>
            </numRef>
          </cat>
          <val>
            <numRef>
              <f>'Сценарії'!$B$16:$D$16</f>
            </numRef>
          </val>
        </ser>
        <ser>
          <idx val="2"/>
          <order val="2"/>
          <tx>
            <strRef>
              <f>'Сценарії'!A17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'Сценарії'!$B$1:$D$1</f>
            </numRef>
          </cat>
          <val>
            <numRef>
              <f>'Сценарії'!$B$17:$D$17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за місяць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1" customWidth="1" min="3" max="3"/>
    <col width="14" customWidth="1" min="4" max="4"/>
    <col width="6" customWidth="1" min="5" max="5"/>
    <col width="40" customWidth="1" min="6" max="6"/>
  </cols>
  <sheetData>
    <row r="1">
      <c r="A1" s="1" t="inlineStr">
        <is>
          <t>Ім'я</t>
        </is>
      </c>
      <c r="B1" s="1" t="inlineStr">
        <is>
          <t>Показник</t>
        </is>
      </c>
      <c r="C1" s="1" t="inlineStr">
        <is>
          <t>Значення</t>
        </is>
      </c>
      <c r="D1" s="1" t="inlineStr">
        <is>
          <t>Одиниця</t>
        </is>
      </c>
      <c r="E1" s="1" t="inlineStr">
        <is>
          <t>Тип</t>
        </is>
      </c>
      <c r="F1" s="1" t="inlineStr">
        <is>
          <t>Пояснення</t>
        </is>
      </c>
    </row>
    <row r="2">
      <c r="A2" s="2" t="inlineStr">
        <is>
          <t>x4_cogs_var</t>
        </is>
      </c>
      <c r="B2" s="2" t="inlineStr">
        <is>
          <t>COGS на будівлю за варіантом</t>
        </is>
      </c>
      <c r="C2" s="3" t="n">
        <v>16</v>
      </c>
      <c r="D2" s="2" t="inlineStr">
        <is>
          <t>EUR/міс.</t>
        </is>
      </c>
      <c r="E2" s="2" t="inlineStr">
        <is>
          <t>Д</t>
        </is>
      </c>
      <c r="F2" s="2" t="inlineStr">
        <is>
          <t>варіант 14, ЛР № 4</t>
        </is>
      </c>
    </row>
    <row r="3">
      <c r="A3" s="2" t="inlineStr">
        <is>
          <t>x4_gm</t>
        </is>
      </c>
      <c r="B3" s="2" t="inlineStr">
        <is>
          <t>Target gross margin</t>
        </is>
      </c>
      <c r="C3" s="4" t="n">
        <v>0.7</v>
      </c>
      <c r="D3" s="2" t="inlineStr">
        <is>
          <t>частка</t>
        </is>
      </c>
      <c r="E3" s="2" t="inlineStr">
        <is>
          <t>Д</t>
        </is>
      </c>
      <c r="F3" s="2" t="inlineStr">
        <is>
          <t>варіант 14</t>
        </is>
      </c>
    </row>
    <row r="4">
      <c r="A4" s="2" t="inlineStr">
        <is>
          <t>x4_scale</t>
        </is>
      </c>
      <c r="B4" s="2" t="inlineStr">
        <is>
          <t>Масштаб Y3</t>
        </is>
      </c>
      <c r="C4" s="3" t="n">
        <v>85</v>
      </c>
      <c r="D4" s="2" t="inlineStr">
        <is>
          <t>будівель/міс.</t>
        </is>
      </c>
      <c r="E4" s="2" t="inlineStr">
        <is>
          <t>Д</t>
        </is>
      </c>
      <c r="F4" s="2" t="inlineStr">
        <is>
          <t>варіант 14</t>
        </is>
      </c>
    </row>
    <row r="5">
      <c r="A5" s="2" t="inlineStr">
        <is>
          <t>x4_readings</t>
        </is>
      </c>
      <c r="B5" s="2" t="inlineStr">
        <is>
          <t>Обробка і зберігання показів</t>
        </is>
      </c>
      <c r="C5" s="4" t="n">
        <v>6.48</v>
      </c>
      <c r="D5" s="2" t="inlineStr">
        <is>
          <t>EUR/буд./міс.</t>
        </is>
      </c>
      <c r="E5" s="2" t="inlineStr">
        <is>
          <t>Д</t>
        </is>
      </c>
      <c r="F5" s="2" t="inlineStr">
        <is>
          <t>ЛР № 1: 86 400 показів × 0,075 / 1000</t>
        </is>
      </c>
    </row>
    <row r="6">
      <c r="A6" s="2" t="inlineStr">
        <is>
          <t>x4_sim</t>
        </is>
      </c>
      <c r="B6" s="2" t="inlineStr">
        <is>
          <t>Мобільний зв'язок шлюзу</t>
        </is>
      </c>
      <c r="C6" s="3" t="n">
        <v>4</v>
      </c>
      <c r="D6" s="2" t="inlineStr">
        <is>
          <t>EUR/буд./міс.</t>
        </is>
      </c>
      <c r="E6" s="2" t="inlineStr">
        <is>
          <t>Д</t>
        </is>
      </c>
      <c r="F6" s="2" t="inlineStr">
        <is>
          <t>ЛР № 1</t>
        </is>
      </c>
    </row>
    <row r="7">
      <c r="A7" s="2" t="inlineStr">
        <is>
          <t>x4_sms_cost</t>
        </is>
      </c>
      <c r="B7" s="2" t="inlineStr">
        <is>
          <t>Собівартість SMS</t>
        </is>
      </c>
      <c r="C7" s="4" t="n">
        <v>0.06</v>
      </c>
      <c r="D7" s="2" t="inlineStr">
        <is>
          <t>EUR</t>
        </is>
      </c>
      <c r="E7" s="2" t="inlineStr">
        <is>
          <t>Д</t>
        </is>
      </c>
      <c r="F7" s="2" t="inlineStr">
        <is>
          <t>ЛР № 1</t>
        </is>
      </c>
    </row>
    <row r="8">
      <c r="A8" s="2" t="inlineStr">
        <is>
          <t>x4_sms_typ</t>
        </is>
      </c>
      <c r="B8" s="2" t="inlineStr">
        <is>
          <t>SMS на будівлю, типово</t>
        </is>
      </c>
      <c r="C8" s="3" t="n">
        <v>12</v>
      </c>
      <c r="D8" s="2" t="inlineStr">
        <is>
          <t>шт./міс.</t>
        </is>
      </c>
      <c r="E8" s="2" t="inlineStr">
        <is>
          <t>Д</t>
        </is>
      </c>
      <c r="F8" s="2" t="inlineStr">
        <is>
          <t>ЛР № 1</t>
        </is>
      </c>
    </row>
    <row r="9">
      <c r="A9" s="2" t="inlineStr">
        <is>
          <t>x4_sup_h</t>
        </is>
      </c>
      <c r="B9" s="2" t="inlineStr">
        <is>
          <t>Підтримка на будівлю, типово</t>
        </is>
      </c>
      <c r="C9" s="4" t="n">
        <v>0.16</v>
      </c>
      <c r="D9" s="2" t="inlineStr">
        <is>
          <t>год/міс.</t>
        </is>
      </c>
      <c r="E9" s="2" t="inlineStr">
        <is>
          <t>Д</t>
        </is>
      </c>
      <c r="F9" s="2" t="inlineStr">
        <is>
          <t>ЛР № 1</t>
        </is>
      </c>
    </row>
    <row r="10">
      <c r="A10" s="2" t="inlineStr">
        <is>
          <t>x4_sup_rate</t>
        </is>
      </c>
      <c r="B10" s="2" t="inlineStr">
        <is>
          <t>Вартість години підтримки</t>
        </is>
      </c>
      <c r="C10" s="3" t="n">
        <v>30</v>
      </c>
      <c r="D10" s="2" t="inlineStr">
        <is>
          <t>EUR/год</t>
        </is>
      </c>
      <c r="E10" s="2" t="inlineStr">
        <is>
          <t>Д</t>
        </is>
      </c>
      <c r="F10" s="2" t="inlineStr">
        <is>
          <t>ЛР № 1</t>
        </is>
      </c>
    </row>
    <row r="11">
      <c r="A11" s="2" t="inlineStr">
        <is>
          <t>x4_sms_incl</t>
        </is>
      </c>
      <c r="B11" s="2" t="inlineStr">
        <is>
          <t>SMS, включені на будівлю</t>
        </is>
      </c>
      <c r="C11" s="3" t="n">
        <v>20</v>
      </c>
      <c r="D11" s="2" t="inlineStr">
        <is>
          <t>шт./міс.</t>
        </is>
      </c>
      <c r="E11" s="2" t="inlineStr">
        <is>
          <t>П</t>
        </is>
      </c>
      <c r="F11" s="2" t="inlineStr">
        <is>
          <t>тарифне правило</t>
        </is>
      </c>
    </row>
    <row r="12">
      <c r="A12" s="2" t="inlineStr">
        <is>
          <t>x4_sms_price</t>
        </is>
      </c>
      <c r="B12" s="2" t="inlineStr">
        <is>
          <t>Ціна SMS понад ліміт</t>
        </is>
      </c>
      <c r="C12" s="4" t="n">
        <v>0.25</v>
      </c>
      <c r="D12" s="2" t="inlineStr">
        <is>
          <t>EUR</t>
        </is>
      </c>
      <c r="E12" s="2" t="inlineStr">
        <is>
          <t>П</t>
        </is>
      </c>
      <c r="F12" s="2" t="inlineStr">
        <is>
          <t>не нижче floor 0,20</t>
        </is>
      </c>
    </row>
    <row r="13">
      <c r="A13" s="2" t="inlineStr">
        <is>
          <t>x4_sms_high</t>
        </is>
      </c>
      <c r="B13" s="2" t="inlineStr">
        <is>
          <t>SMS у будівлі з high usage</t>
        </is>
      </c>
      <c r="C13" s="3" t="n">
        <v>40</v>
      </c>
      <c r="D13" s="2" t="inlineStr">
        <is>
          <t>шт./міс.</t>
        </is>
      </c>
      <c r="E13" s="2" t="inlineStr">
        <is>
          <t>П</t>
        </is>
      </c>
      <c r="F13" s="2" t="inlineStr">
        <is>
          <t>A3</t>
        </is>
      </c>
    </row>
    <row r="14">
      <c r="A14" s="2" t="inlineStr">
        <is>
          <t>x4_sup_high</t>
        </is>
      </c>
      <c r="B14" s="2" t="inlineStr">
        <is>
          <t>Підтримка будівлі з high usage</t>
        </is>
      </c>
      <c r="C14" s="4" t="n">
        <v>0.6</v>
      </c>
      <c r="D14" s="2" t="inlineStr">
        <is>
          <t>год/міс.</t>
        </is>
      </c>
      <c r="E14" s="2" t="inlineStr">
        <is>
          <t>П</t>
        </is>
      </c>
      <c r="F14" s="2" t="inlineStr">
        <is>
          <t>A3, нестабільні лічильники</t>
        </is>
      </c>
    </row>
    <row r="15">
      <c r="A15" s="2" t="inlineStr">
        <is>
          <t>x4_fee</t>
        </is>
      </c>
      <c r="B15" s="2" t="inlineStr">
        <is>
          <t>Доплата за нестабільний облік</t>
        </is>
      </c>
      <c r="C15" s="3" t="n">
        <v>50</v>
      </c>
      <c r="D15" s="2" t="inlineStr">
        <is>
          <t>EUR/буд./міс.</t>
        </is>
      </c>
      <c r="E15" s="2" t="inlineStr">
        <is>
          <t>П</t>
        </is>
      </c>
      <c r="F15" s="2" t="inlineStr">
        <is>
          <t>захисне правило</t>
        </is>
      </c>
    </row>
    <row r="16">
      <c r="A16" s="2" t="inlineStr">
        <is>
          <t>x4_high_share</t>
        </is>
      </c>
      <c r="B16" s="2" t="inlineStr">
        <is>
          <t>Частка будівель з high usage</t>
        </is>
      </c>
      <c r="C16" s="4" t="n">
        <v>0.1</v>
      </c>
      <c r="D16" s="2" t="inlineStr">
        <is>
          <t>частка</t>
        </is>
      </c>
      <c r="E16" s="2" t="inlineStr">
        <is>
          <t>П</t>
        </is>
      </c>
      <c r="F16" s="2" t="inlineStr">
        <is>
          <t>A3</t>
        </is>
      </c>
    </row>
    <row r="17">
      <c r="A17" s="2" t="inlineStr">
        <is>
          <t>x4_value</t>
        </is>
      </c>
      <c r="B17" s="2" t="inlineStr">
        <is>
          <t>Цінність на будівлю</t>
        </is>
      </c>
      <c r="C17" s="3" t="n">
        <v>900</v>
      </c>
      <c r="D17" s="2" t="inlineStr">
        <is>
          <t>EUR/міс.</t>
        </is>
      </c>
      <c r="E17" s="2" t="inlineStr">
        <is>
          <t>Д</t>
        </is>
      </c>
      <c r="F17" s="2" t="inlineStr">
        <is>
          <t>ЛР № 1</t>
        </is>
      </c>
    </row>
    <row r="18">
      <c r="A18" s="2" t="inlineStr">
        <is>
          <t>x4_energy</t>
        </is>
      </c>
      <c r="B18" s="2" t="inlineStr">
        <is>
          <t>Економія енергії на будівлю</t>
        </is>
      </c>
      <c r="C18" s="3" t="n">
        <v>792</v>
      </c>
      <c r="D18" s="2" t="inlineStr">
        <is>
          <t>EUR/міс.</t>
        </is>
      </c>
      <c r="E18" s="2" t="inlineStr">
        <is>
          <t>Д</t>
        </is>
      </c>
      <c r="F18" s="2" t="inlineStr">
        <is>
          <t>ЛР № 1</t>
        </is>
      </c>
    </row>
    <row r="19">
      <c r="A19" s="2" t="inlineStr">
        <is>
          <t>x4_gain</t>
        </is>
      </c>
      <c r="B19" s="2" t="inlineStr">
        <is>
          <t>Частка економії в gain-sharing</t>
        </is>
      </c>
      <c r="C19" s="4" t="n">
        <v>0.2</v>
      </c>
      <c r="D19" s="2" t="inlineStr">
        <is>
          <t>частка</t>
        </is>
      </c>
      <c r="E19" s="2" t="inlineStr">
        <is>
          <t>П</t>
        </is>
      </c>
      <c r="F19" s="2" t="inlineStr">
        <is>
          <t>альтернатива 2</t>
        </is>
      </c>
    </row>
    <row r="20">
      <c r="A20" s="2" t="inlineStr">
        <is>
          <t>x4_episode</t>
        </is>
      </c>
      <c r="B20" s="2" t="inlineStr">
        <is>
          <t>Тривалість епізоду нестабільності</t>
        </is>
      </c>
      <c r="C20" s="3" t="n">
        <v>12</v>
      </c>
      <c r="D20" s="2" t="inlineStr">
        <is>
          <t>міс.</t>
        </is>
      </c>
      <c r="E20" s="2" t="inlineStr">
        <is>
          <t>П</t>
        </is>
      </c>
      <c r="F20" s="2" t="inlineStr">
        <is>
          <t>A9</t>
        </is>
      </c>
    </row>
    <row r="21">
      <c r="A21" s="2" t="n"/>
      <c r="B21" s="2" t="n"/>
      <c r="C21" s="2" t="n"/>
      <c r="D21" s="2" t="n"/>
      <c r="E21" s="2" t="n"/>
      <c r="F21" s="2" t="n"/>
    </row>
    <row r="22">
      <c r="A22" s="2" t="inlineStr">
        <is>
          <t>x4_cogs</t>
        </is>
      </c>
      <c r="B22" s="2" t="inlineStr">
        <is>
          <t>COGS на будівлю з компонентів ЛР № 1</t>
        </is>
      </c>
      <c r="C22" s="5">
        <f>x4_readings+x4_sim+x4_sms_cost*x4_sms_typ+x4_sup_h*x4_sup_rate</f>
        <v/>
      </c>
      <c r="D22" s="2" t="inlineStr">
        <is>
          <t>EUR/буд./міс.</t>
        </is>
      </c>
      <c r="E22" s="2" t="inlineStr">
        <is>
          <t>Р</t>
        </is>
      </c>
      <c r="F22" s="6">
        <f>IF(ABS(C22-x4_cogs_var)&lt;0.001,"збігається з варіантом","розбіжність")</f>
        <v/>
      </c>
    </row>
    <row r="23">
      <c r="A23" s="2" t="inlineStr">
        <is>
          <t>x4_cogs_high</t>
        </is>
      </c>
      <c r="B23" s="2" t="inlineStr">
        <is>
          <t>COGS будівлі з high usage</t>
        </is>
      </c>
      <c r="C23" s="5">
        <f>x4_cogs+(x4_sms_high-x4_sms_typ)*x4_sms_cost+(x4_sup_high-x4_sup_h)*x4_sup_rate</f>
        <v/>
      </c>
      <c r="D23" s="2" t="inlineStr">
        <is>
          <t>EUR/буд./міс.</t>
        </is>
      </c>
      <c r="E23" s="2" t="inlineStr">
        <is>
          <t>Р</t>
        </is>
      </c>
      <c r="F23" s="2" t="inlineStr">
        <is>
          <t>A3</t>
        </is>
      </c>
    </row>
    <row r="24">
      <c r="A24" s="2" t="inlineStr">
        <is>
          <t>x4_over</t>
        </is>
      </c>
      <c r="B24" s="2" t="inlineStr">
        <is>
          <t>Overage з будівлі з high usage</t>
        </is>
      </c>
      <c r="C24" s="5">
        <f>x4_fee+MAX(x4_sms_high-x4_sms_incl,0)*x4_sms_price</f>
        <v/>
      </c>
      <c r="D24" s="2" t="inlineStr">
        <is>
          <t>EUR/буд./міс.</t>
        </is>
      </c>
      <c r="E24" s="2" t="inlineStr">
        <is>
          <t>Р</t>
        </is>
      </c>
      <c r="F24" s="2" t="inlineStr">
        <is>
          <t>доплата + SMS понад ліміт</t>
        </is>
      </c>
    </row>
    <row r="25">
      <c r="A25" s="2" t="inlineStr">
        <is>
          <t>x4_floor_unit</t>
        </is>
      </c>
      <c r="B25" s="2" t="inlineStr">
        <is>
          <t>Floor price на будівлю</t>
        </is>
      </c>
      <c r="C25" s="5">
        <f>x4_cogs_var/(1-x4_gm)</f>
        <v/>
      </c>
      <c r="D25" s="2" t="inlineStr">
        <is>
          <t>EUR/буд./міс.</t>
        </is>
      </c>
      <c r="E25" s="2" t="inlineStr">
        <is>
          <t>Р</t>
        </is>
      </c>
      <c r="F25" s="2" t="inlineStr">
        <is>
          <t>COGS / (1 − GM)</t>
        </is>
      </c>
    </row>
  </sheetData>
  <pageMargins left="0.3" right="0.3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4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Припущення</t>
        </is>
      </c>
      <c r="C1" s="1" t="inlineStr">
        <is>
          <t>Значення</t>
        </is>
      </c>
      <c r="D1" s="1" t="inlineStr">
        <is>
          <t>Підстава</t>
        </is>
      </c>
      <c r="E1" s="1" t="inlineStr">
        <is>
          <t>Що змінює</t>
        </is>
      </c>
    </row>
    <row r="2">
      <c r="A2" s="2" t="inlineStr">
        <is>
          <t>A1</t>
        </is>
      </c>
      <c r="B2" s="2" t="inlineStr">
        <is>
          <t>Розподіл клієнтів за тарифами</t>
        </is>
      </c>
      <c r="C2" s="2" t="inlineStr">
        <is>
          <t>Basic 60%, Standard 30%, Pro 10% клієнтів</t>
        </is>
      </c>
      <c r="D2" s="2" t="inlineStr">
        <is>
          <t>П: сегмент S1 ЛР № 1 складається переважно з власників однієї будівлі; керуючі компанії з портфелем є меншістю</t>
        </is>
      </c>
      <c r="E2" s="2" t="inlineStr">
        <is>
          <t>Revenue і COGS</t>
        </is>
      </c>
    </row>
    <row r="3">
      <c r="A3" s="2" t="inlineStr">
        <is>
          <t>A2</t>
        </is>
      </c>
      <c r="B3" s="2" t="inlineStr">
        <is>
          <t>Середнє usage</t>
        </is>
      </c>
      <c r="C3" s="2" t="inlineStr">
        <is>
          <t>будівель на клієнта: Basic 1,0; Standard 2,0; Pro 5,0 (у середньому 1,7); на будівлю до 30 точок обліку, 12 SMS, 0,16 год підтримки</t>
        </is>
      </c>
      <c r="D3" s="2" t="inlineStr">
        <is>
          <t>П: типова будівля і v = 16 EUR з ЛР № 1; межа 30 лічильників з ЛР № 2</t>
        </is>
      </c>
      <c r="E3" s="2" t="inlineStr">
        <is>
          <t>COGS і margin</t>
        </is>
      </c>
    </row>
    <row r="4">
      <c r="A4" s="2" t="inlineStr">
        <is>
          <t>A3</t>
        </is>
      </c>
      <c r="B4" s="2" t="inlineStr">
        <is>
          <t>Високе usage</t>
        </is>
      </c>
      <c r="C4" s="2" t="inlineStr">
        <is>
          <t>10% будівель у стані «нестабільний облік»: 0,6 год підтримки і 40 SMS на місяць; клієнт Pro з 20 будівлями</t>
        </is>
      </c>
      <c r="D4" s="2" t="inlineStr">
        <is>
          <t>П: поріг пропусків 10% з A5 ЛР № 1, ризик варіанта ЛР № 3</t>
        </is>
      </c>
      <c r="E4" s="2" t="inlineStr">
        <is>
          <t>ризик тарифу</t>
        </is>
      </c>
    </row>
    <row r="5">
      <c r="A5" s="2" t="inlineStr">
        <is>
          <t>A4</t>
        </is>
      </c>
      <c r="B5" s="2" t="inlineStr">
        <is>
          <t>COGS на одного клієнта (базова частина)</t>
        </is>
      </c>
      <c r="C5" s="2" t="inlineStr">
        <is>
          <t>Basic 0,10 год, Standard 0,20 год, Pro 0,50 год × 30 EUR = 3, 6, 15 EUR на місяць</t>
        </is>
      </c>
      <c r="D5" s="2" t="inlineStr">
        <is>
          <t>П: адміністрування акаунта, рахунок, ролі, для Pro пріоритетна підтримка і квартальний огляд</t>
        </is>
      </c>
      <c r="E5" s="2" t="inlineStr">
        <is>
          <t>COGS бази</t>
        </is>
      </c>
    </row>
    <row r="6">
      <c r="A6" s="2" t="inlineStr">
        <is>
          <t>A5</t>
        </is>
      </c>
      <c r="B6" s="2" t="inlineStr">
        <is>
          <t>Розрахунковий період і валюта</t>
        </is>
      </c>
      <c r="C6" s="2" t="inlineStr">
        <is>
          <t>календарний місяць, EUR, ціни без ПДВ</t>
        </is>
      </c>
      <c r="D6" s="2" t="inlineStr">
        <is>
          <t>Д: варіант задає COGS у EUR за місяць</t>
        </is>
      </c>
      <c r="E6" s="2" t="inlineStr">
        <is>
          <t>усі суми</t>
        </is>
      </c>
    </row>
    <row r="7">
      <c r="A7" s="2" t="inlineStr">
        <is>
          <t>A6</t>
        </is>
      </c>
      <c r="B7" s="2" t="inlineStr">
        <is>
          <t>Підключення будівлі</t>
        </is>
      </c>
      <c r="C7" s="2" t="inlineStr">
        <is>
          <t>шлюз і монтаж оплачуються разово за собівартістю, поза місячною моделлю</t>
        </is>
      </c>
      <c r="D7" s="2" t="inlineStr">
        <is>
          <t>П: обладнання не входить у v = 16 EUR ЛР № 1</t>
        </is>
      </c>
      <c r="E7" s="2" t="inlineStr">
        <is>
          <t>не входить у Revenue і COGS</t>
        </is>
      </c>
    </row>
    <row r="8">
      <c r="A8" s="2" t="inlineStr">
        <is>
          <t>A7</t>
        </is>
      </c>
      <c r="B8" s="2" t="inlineStr">
        <is>
          <t>Сценарії</t>
        </is>
      </c>
      <c r="C8" s="2" t="inlineStr">
        <is>
          <t>70%, 100%, 140% від 85 будівель; mix, usage і ціни сталі</t>
        </is>
      </c>
      <c r="D8" s="2" t="inlineStr">
        <is>
          <t>Д: методичка, розділ 3.2</t>
        </is>
      </c>
      <c r="E8" s="2" t="inlineStr">
        <is>
          <t>Revenue, COGS</t>
        </is>
      </c>
    </row>
    <row r="9">
      <c r="A9" s="2" t="inlineStr">
        <is>
          <t>A8</t>
        </is>
      </c>
      <c r="B9" s="2" t="inlineStr">
        <is>
          <t>Готовність платити за будівлю</t>
        </is>
      </c>
      <c r="C9" s="2" t="inlineStr">
        <is>
          <t>130...135 EUR на місяць за будівлю, не більше 15% цінності 900 EUR</t>
        </is>
      </c>
      <c r="D9" s="2" t="inlineStr">
        <is>
          <t>П: гіпотеза A2 ЛР № 1, листами про намір не перевірена</t>
        </is>
      </c>
      <c r="E9" s="2" t="inlineStr">
        <is>
          <t>Revenue, GM</t>
        </is>
      </c>
    </row>
    <row r="10">
      <c r="A10" s="2" t="inlineStr">
        <is>
          <t>A9</t>
        </is>
      </c>
      <c r="B10" s="2" t="inlineStr">
        <is>
          <t>Стаціонарний стан доплати за нестабільний облік</t>
        </is>
      </c>
      <c r="C10" s="2" t="inlineStr">
        <is>
          <t>у сценаріях Y3 усі будівлі зі статусом «нестабільний облік» уже пройшли 2 місяці спостереження і 1 пільговий місяць; епізод нестабільності триває 12 місяців</t>
        </is>
      </c>
      <c r="D10" s="2" t="inlineStr">
        <is>
          <t>П: спрощення; вплив від 1 до 3 неоплачених місяців наведено в додатку</t>
        </is>
      </c>
      <c r="E10" s="2" t="inlineStr">
        <is>
          <t>Revenue overage, GM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16" customWidth="1" min="4" max="4"/>
    <col width="12" customWidth="1" min="5" max="5"/>
    <col width="14" customWidth="1" min="6" max="6"/>
    <col width="16" customWidth="1" min="7" max="7"/>
    <col width="10" customWidth="1" min="8" max="8"/>
    <col width="7" customWidth="1" min="9" max="9"/>
  </cols>
  <sheetData>
    <row r="1">
      <c r="A1" s="1" t="inlineStr">
        <is>
          <t>Модель</t>
        </is>
      </c>
      <c r="B1" s="1" t="inlineStr">
        <is>
          <t>Pricing metric</t>
        </is>
      </c>
      <c r="C1" s="1" t="inlineStr">
        <is>
          <t>Передбачуваність доходу</t>
        </is>
      </c>
      <c r="D1" s="1" t="inlineStr">
        <is>
          <t>Захист від надмірного використання</t>
        </is>
      </c>
      <c r="E1" s="1" t="inlineStr">
        <is>
          <t>Простота продажу</t>
        </is>
      </c>
      <c r="F1" s="1" t="inlineStr">
        <is>
          <t>Відповідність цінності</t>
        </is>
      </c>
      <c r="G1" s="1" t="inlineStr">
        <is>
          <t>Вимірюваність metric у межах MVP</t>
        </is>
      </c>
      <c r="H1" s="1" t="inlineStr">
        <is>
          <t>Оцінка 1...5</t>
        </is>
      </c>
      <c r="I1" s="1" t="inlineStr">
        <is>
          <t>Ранг</t>
        </is>
      </c>
    </row>
    <row r="2">
      <c r="A2" s="2" t="inlineStr">
        <is>
          <t>Hybrid base + usage (задана)</t>
        </is>
      </c>
      <c r="B2" s="2" t="inlineStr">
        <is>
          <t>клієнт (база) і активна будівля за місяць (usage)</t>
        </is>
      </c>
      <c r="C2" s="7" t="n">
        <v>4</v>
      </c>
      <c r="D2" s="7" t="n">
        <v>4</v>
      </c>
      <c r="E2" s="7" t="n">
        <v>3</v>
      </c>
      <c r="F2" s="7" t="n">
        <v>4</v>
      </c>
      <c r="G2" s="7" t="n">
        <v>5</v>
      </c>
      <c r="H2" s="8">
        <f>AVERAGE(C2:G2)</f>
        <v/>
      </c>
      <c r="I2" s="9">
        <f>RANK(H2,$H$2:$H$4)</f>
        <v/>
      </c>
    </row>
    <row r="3">
      <c r="A3" s="2" t="inlineStr">
        <is>
          <t>Альтернатива 1: фіксована підписка на клієнта</t>
        </is>
      </c>
      <c r="B3" s="2" t="inlineStr">
        <is>
          <t>клієнт (акаунт) без ліміту будівель у тарифі</t>
        </is>
      </c>
      <c r="C3" s="7" t="n">
        <v>5</v>
      </c>
      <c r="D3" s="7" t="n">
        <v>2</v>
      </c>
      <c r="E3" s="7" t="n">
        <v>5</v>
      </c>
      <c r="F3" s="7" t="n">
        <v>2</v>
      </c>
      <c r="G3" s="7" t="n">
        <v>5</v>
      </c>
      <c r="H3" s="8">
        <f>AVERAGE(C3:G3)</f>
        <v/>
      </c>
      <c r="I3" s="9">
        <f>RANK(H3,$H$2:$H$4)</f>
        <v/>
      </c>
    </row>
    <row r="4">
      <c r="A4" s="2" t="inlineStr">
        <is>
          <t>Альтернатива 2: частка підтвердженої економії (gain-sharing)</t>
        </is>
      </c>
      <c r="B4" s="2" t="inlineStr">
        <is>
          <t>EUR підтвердженої економії енергії за IPMVP</t>
        </is>
      </c>
      <c r="C4" s="7" t="n">
        <v>1</v>
      </c>
      <c r="D4" s="7" t="n">
        <v>2</v>
      </c>
      <c r="E4" s="7" t="n">
        <v>2</v>
      </c>
      <c r="F4" s="7" t="n">
        <v>5</v>
      </c>
      <c r="G4" s="7" t="n">
        <v>1</v>
      </c>
      <c r="H4" s="8">
        <f>AVERAGE(C4:G4)</f>
        <v/>
      </c>
      <c r="I4" s="9">
        <f>RANK(H4,$H$2:$H$4)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Показник</t>
        </is>
      </c>
      <c r="B1" s="1" t="inlineStr">
        <is>
          <t>Формула або підстава</t>
        </is>
      </c>
      <c r="C1" s="1" t="inlineStr">
        <is>
          <t>Basic</t>
        </is>
      </c>
      <c r="D1" s="1" t="inlineStr">
        <is>
          <t>Standard</t>
        </is>
      </c>
      <c r="E1" s="1" t="inlineStr">
        <is>
          <t>Pro</t>
        </is>
      </c>
    </row>
    <row r="2">
      <c r="A2" s="2" t="inlineStr">
        <is>
          <t>Базовий платіж на клієнта, EUR/міс.</t>
        </is>
      </c>
      <c r="B2" s="2" t="inlineStr">
        <is>
          <t>вхід</t>
        </is>
      </c>
      <c r="C2" s="10" t="n">
        <v>25</v>
      </c>
      <c r="D2" s="10" t="n">
        <v>50</v>
      </c>
      <c r="E2" s="10" t="n">
        <v>150</v>
      </c>
    </row>
    <row r="3">
      <c r="A3" s="2" t="inlineStr">
        <is>
          <t>Ціна за активну будівлю, EUR/міс.</t>
        </is>
      </c>
      <c r="B3" s="2" t="inlineStr">
        <is>
          <t>вхід</t>
        </is>
      </c>
      <c r="C3" s="10" t="n">
        <v>110</v>
      </c>
      <c r="D3" s="10" t="n">
        <v>110</v>
      </c>
      <c r="E3" s="10" t="n">
        <v>90</v>
      </c>
    </row>
    <row r="4">
      <c r="A4" s="2" t="inlineStr">
        <is>
          <t>Максимум будівель у тарифі</t>
        </is>
      </c>
      <c r="B4" s="2" t="inlineStr">
        <is>
          <t>захисне правило</t>
        </is>
      </c>
      <c r="C4" s="11" t="n">
        <v>2</v>
      </c>
      <c r="D4" s="11" t="n">
        <v>5</v>
      </c>
      <c r="E4" s="11" t="n">
        <v>20</v>
      </c>
    </row>
    <row r="5">
      <c r="A5" s="2" t="inlineStr">
        <is>
          <t>Частка клієнтів (A1)</t>
        </is>
      </c>
      <c r="B5" s="2" t="inlineStr">
        <is>
          <t>A1</t>
        </is>
      </c>
      <c r="C5" s="12" t="n">
        <v>0.6</v>
      </c>
      <c r="D5" s="12" t="n">
        <v>0.3</v>
      </c>
      <c r="E5" s="12" t="n">
        <v>0.1</v>
      </c>
    </row>
    <row r="6">
      <c r="A6" s="2" t="inlineStr">
        <is>
          <t>Середнє usage, будівель на клієнта (A2)</t>
        </is>
      </c>
      <c r="B6" s="2" t="inlineStr">
        <is>
          <t>A2</t>
        </is>
      </c>
      <c r="C6" s="13" t="n">
        <v>1</v>
      </c>
      <c r="D6" s="13" t="n">
        <v>2</v>
      </c>
      <c r="E6" s="13" t="n">
        <v>5</v>
      </c>
    </row>
    <row r="7">
      <c r="A7" s="2" t="inlineStr">
        <is>
          <t>Год підтримки на клієнта (A4)</t>
        </is>
      </c>
      <c r="B7" s="2" t="inlineStr">
        <is>
          <t>A4</t>
        </is>
      </c>
      <c r="C7" s="4" t="n">
        <v>0.1</v>
      </c>
      <c r="D7" s="4" t="n">
        <v>0.2</v>
      </c>
      <c r="E7" s="4" t="n">
        <v>0.5</v>
      </c>
    </row>
    <row r="8">
      <c r="A8" s="2" t="inlineStr">
        <is>
          <t>COGS на клієнта (база), EUR</t>
        </is>
      </c>
      <c r="B8" s="2" t="inlineStr">
        <is>
          <t>год × 30</t>
        </is>
      </c>
      <c r="C8" s="14">
        <f>C7*x4_sup_rate</f>
        <v/>
      </c>
      <c r="D8" s="14">
        <f>D7*x4_sup_rate</f>
        <v/>
      </c>
      <c r="E8" s="14">
        <f>E7*x4_sup_rate</f>
        <v/>
      </c>
    </row>
    <row r="9">
      <c r="A9" s="2" t="inlineStr">
        <is>
          <t>Очікуваний рахунок клієнта, EUR/міс.</t>
        </is>
      </c>
      <c r="B9" s="2" t="inlineStr">
        <is>
          <t>база + ціна × usage</t>
        </is>
      </c>
      <c r="C9" s="14">
        <f>C2+C3*C6</f>
        <v/>
      </c>
      <c r="D9" s="14">
        <f>D2+D3*D6</f>
        <v/>
      </c>
      <c r="E9" s="14">
        <f>E2+E3*E6</f>
        <v/>
      </c>
    </row>
    <row r="10">
      <c r="A10" s="2" t="inlineStr">
        <is>
          <t>Очікуваний COGS клієнта, EUR/міс.</t>
        </is>
      </c>
      <c r="B10" s="2" t="inlineStr">
        <is>
          <t>COGS бази + usage × 16</t>
        </is>
      </c>
      <c r="C10" s="14">
        <f>C8+C6*x4_cogs</f>
        <v/>
      </c>
      <c r="D10" s="14">
        <f>D8+D6*x4_cogs</f>
        <v/>
      </c>
      <c r="E10" s="14">
        <f>E8+E6*x4_cogs</f>
        <v/>
      </c>
    </row>
    <row r="11">
      <c r="A11" s="2" t="inlineStr">
        <is>
          <t>Gross profit, EUR/міс.</t>
        </is>
      </c>
      <c r="B11" s="2" t="inlineStr">
        <is>
          <t>рахунок мінус COGS</t>
        </is>
      </c>
      <c r="C11" s="14">
        <f>C9-C10</f>
        <v/>
      </c>
      <c r="D11" s="14">
        <f>D9-D10</f>
        <v/>
      </c>
      <c r="E11" s="14">
        <f>E9-E10</f>
        <v/>
      </c>
    </row>
    <row r="12">
      <c r="A12" s="2" t="inlineStr">
        <is>
          <t>Gross margin</t>
        </is>
      </c>
      <c r="B12" s="2" t="inlineStr">
        <is>
          <t>(Revenue − COGS) / Revenue</t>
        </is>
      </c>
      <c r="C12" s="15">
        <f>(C9-C10)/C9</f>
        <v/>
      </c>
      <c r="D12" s="15">
        <f>(D9-D10)/D9</f>
        <v/>
      </c>
      <c r="E12" s="15">
        <f>(E9-E10)/E9</f>
        <v/>
      </c>
    </row>
    <row r="13">
      <c r="A13" s="2" t="inlineStr">
        <is>
          <t>Floor price пакета, EUR/міс.</t>
        </is>
      </c>
      <c r="B13" s="2" t="inlineStr">
        <is>
          <t>COGS / (1 − 0,70)</t>
        </is>
      </c>
      <c r="C13" s="14">
        <f>C10/(1-x4_gm)</f>
        <v/>
      </c>
      <c r="D13" s="14">
        <f>D10/(1-x4_gm)</f>
        <v/>
      </c>
      <c r="E13" s="14">
        <f>E10/(1-x4_gm)</f>
        <v/>
      </c>
    </row>
    <row r="14">
      <c r="A14" s="2" t="inlineStr">
        <is>
          <t>Ціна не нижча за floor</t>
        </is>
      </c>
      <c r="B14" s="2" t="inlineStr">
        <is>
          <t>порівняння</t>
        </is>
      </c>
      <c r="C14" s="14">
        <f>IF(C9&gt;=C13,"так","ні")</f>
        <v/>
      </c>
      <c r="D14" s="14">
        <f>IF(D9&gt;=D13,"так","ні")</f>
        <v/>
      </c>
      <c r="E14" s="14">
        <f>IF(E9&gt;=E13,"так","ні")</f>
        <v/>
      </c>
    </row>
    <row r="15">
      <c r="A15" s="2" t="inlineStr">
        <is>
          <t>Markup на COGS</t>
        </is>
      </c>
      <c r="B15" s="2" t="inlineStr">
        <is>
          <t>(ціна − COGS) / COGS</t>
        </is>
      </c>
      <c r="C15" s="15">
        <f>(C9-C10)/C10</f>
        <v/>
      </c>
      <c r="D15" s="15">
        <f>(D9-D10)/D10</f>
        <v/>
      </c>
      <c r="E15" s="15">
        <f>(E9-E10)/E10</f>
        <v/>
      </c>
    </row>
    <row r="16">
      <c r="A16" s="2" t="inlineStr">
        <is>
          <t>Ціна на будівлю, EUR</t>
        </is>
      </c>
      <c r="B16" s="2" t="inlineStr">
        <is>
          <t>рахунок / usage</t>
        </is>
      </c>
      <c r="C16" s="14">
        <f>C9/C6</f>
        <v/>
      </c>
      <c r="D16" s="14">
        <f>D9/D6</f>
        <v/>
      </c>
      <c r="E16" s="14">
        <f>E9/E6</f>
        <v/>
      </c>
    </row>
    <row r="17">
      <c r="A17" s="2" t="inlineStr">
        <is>
          <t>Частка цінності 900 EUR</t>
        </is>
      </c>
      <c r="B17" s="2" t="inlineStr">
        <is>
          <t>ціна будівлі / цінність</t>
        </is>
      </c>
      <c r="C17" s="15">
        <f>C16/x4_value</f>
        <v/>
      </c>
      <c r="D17" s="15">
        <f>D16/x4_value</f>
        <v/>
      </c>
      <c r="E17" s="15">
        <f>E16/x4_value</f>
        <v/>
      </c>
    </row>
    <row r="18">
      <c r="A18" s="2" t="inlineStr">
        <is>
          <t>Ціна будівлі не нижча за floor одиниці</t>
        </is>
      </c>
      <c r="B18" s="2" t="inlineStr">
        <is>
          <t>ціна будівлі ≥ 53,33</t>
        </is>
      </c>
      <c r="C18" s="14">
        <f>IF(C3&gt;=x4_floor_unit,"так","ні")</f>
        <v/>
      </c>
      <c r="D18" s="14">
        <f>IF(D3&gt;=x4_floor_unit,"так","ні")</f>
        <v/>
      </c>
      <c r="E18" s="14">
        <f>IF(E3&gt;=x4_floor_unit,"так","ні")</f>
        <v/>
      </c>
    </row>
    <row r="19">
      <c r="A19" s="2" t="inlineStr">
        <is>
          <t>Частка COGS бази в COGS клієнта</t>
        </is>
      </c>
      <c r="B19" s="2" t="inlineStr">
        <is>
          <t>COGS бази / COGS клієнта</t>
        </is>
      </c>
      <c r="C19" s="15">
        <f>C8/C10</f>
        <v/>
      </c>
      <c r="D19" s="15">
        <f>D8/D10</f>
        <v/>
      </c>
      <c r="E19" s="15">
        <f>E8/E10</f>
        <v/>
      </c>
    </row>
    <row r="20">
      <c r="A20" s="2" t="inlineStr">
        <is>
          <t>Очікуваний COGS будівлі з A3, EUR</t>
        </is>
      </c>
      <c r="B20" s="2" t="inlineStr">
        <is>
          <t>0,9 × 16 + 0,1 × 30,88</t>
        </is>
      </c>
      <c r="C20" s="14">
        <f>(1-x4_high_share)*x4_cogs+x4_high_share*x4_cogs_high</f>
        <v/>
      </c>
      <c r="D20" s="14">
        <f>(1-x4_high_share)*x4_cogs+x4_high_share*x4_cogs_high</f>
        <v/>
      </c>
      <c r="E20" s="14">
        <f>(1-x4_high_share)*x4_cogs+x4_high_share*x4_cogs_high</f>
        <v/>
      </c>
    </row>
    <row r="21">
      <c r="A21" s="2" t="inlineStr">
        <is>
          <t>Очікуваний COGS клієнта з A3, EUR/міс.</t>
        </is>
      </c>
      <c r="B21" s="2" t="inlineStr">
        <is>
          <t>COGS бази + usage × 17,49</t>
        </is>
      </c>
      <c r="C21" s="14">
        <f>C8+C6*C20</f>
        <v/>
      </c>
      <c r="D21" s="14">
        <f>D8+D6*D20</f>
        <v/>
      </c>
      <c r="E21" s="14">
        <f>E8+E6*E20</f>
        <v/>
      </c>
    </row>
    <row r="22">
      <c r="A22" s="2" t="inlineStr">
        <is>
          <t>Очікуваний overage з A3, EUR/міс.</t>
        </is>
      </c>
      <c r="B22" s="2" t="inlineStr">
        <is>
          <t>usage × 0,10 × 55</t>
        </is>
      </c>
      <c r="C22" s="14">
        <f>C6*x4_high_share*x4_over</f>
        <v/>
      </c>
      <c r="D22" s="14">
        <f>D6*x4_high_share*x4_over</f>
        <v/>
      </c>
      <c r="E22" s="14">
        <f>E6*x4_high_share*x4_over</f>
        <v/>
      </c>
    </row>
    <row r="23">
      <c r="A23" s="2" t="inlineStr">
        <is>
          <t>Очікуваний рахунок з A3, EUR/міс.</t>
        </is>
      </c>
      <c r="B23" s="2" t="inlineStr">
        <is>
          <t>рахунок + overage</t>
        </is>
      </c>
      <c r="C23" s="14">
        <f>C9+C22</f>
        <v/>
      </c>
      <c r="D23" s="14">
        <f>D9+D22</f>
        <v/>
      </c>
      <c r="E23" s="14">
        <f>E9+E22</f>
        <v/>
      </c>
    </row>
    <row r="24">
      <c r="A24" s="2" t="inlineStr">
        <is>
          <t>Gross margin з A3</t>
        </is>
      </c>
      <c r="B24" s="2" t="inlineStr">
        <is>
          <t>(Revenue − COGS) / Revenue</t>
        </is>
      </c>
      <c r="C24" s="15">
        <f>(C23-C21)/C23</f>
        <v/>
      </c>
      <c r="D24" s="15">
        <f>(D23-D21)/D23</f>
        <v/>
      </c>
      <c r="E24" s="15">
        <f>(E23-E21)/E23</f>
        <v/>
      </c>
    </row>
    <row r="26">
      <c r="A26" s="1" t="inlineStr">
        <is>
          <t>Перевірка формули floor</t>
        </is>
      </c>
      <c r="B26" s="1" t="inlineStr">
        <is>
          <t>Значення, EUR</t>
        </is>
      </c>
      <c r="C26" s="1" t="inlineStr">
        <is>
          <t>GM</t>
        </is>
      </c>
    </row>
    <row r="27">
      <c r="A27" s="2" t="inlineStr">
        <is>
          <t>Правильно: COGS / (1 − GM)</t>
        </is>
      </c>
      <c r="B27" s="5">
        <f>x4_cogs_var/(1-x4_gm)</f>
        <v/>
      </c>
      <c r="C27" s="15">
        <f>(B27-x4_cogs_var)/B27</f>
        <v/>
      </c>
    </row>
    <row r="28">
      <c r="A28" s="2" t="inlineStr">
        <is>
          <t>Помилково: COGS × (1 + GM)</t>
        </is>
      </c>
      <c r="B28" s="5">
        <f>x4_cogs_var*(1+x4_gm)</f>
        <v/>
      </c>
      <c r="C28" s="15">
        <f>(B28-x4_cogs_var)/B28</f>
        <v/>
      </c>
    </row>
    <row r="30">
      <c r="A30" s="1" t="inlineStr">
        <is>
          <t>Зважена за A1 gross margin</t>
        </is>
      </c>
      <c r="B30" s="1" t="inlineStr">
        <is>
          <t>Значення</t>
        </is>
      </c>
    </row>
    <row r="31">
      <c r="A31" s="2" t="inlineStr">
        <is>
          <t>Типова будівля, без A3</t>
        </is>
      </c>
      <c r="B31" s="16">
        <f>(x4_mix_B*(C9-C10)+x4_mix_S*(D9-D10)+x4_mix_P*(E9-E10))/(x4_mix_B*C9+x4_mix_S*D9+x4_mix_P*E9)</f>
        <v/>
      </c>
    </row>
    <row r="32">
      <c r="A32" s="2" t="inlineStr">
        <is>
          <t>З урахуванням A3, дорівнює GM сценаріїв</t>
        </is>
      </c>
      <c r="B32" s="16">
        <f>(x4_mix_B*(C23-C21)+x4_mix_S*(D23-D21)+x4_mix_P*(E23-E21))/(x4_mix_B*C23+x4_mix_S*D23+x4_mix_P*E23)</f>
        <v/>
      </c>
    </row>
  </sheetData>
  <pageMargins left="0.3" right="0.3" top="0.4" bottom="0.4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Показник</t>
        </is>
      </c>
      <c r="B1" s="1" t="inlineStr">
        <is>
          <t>Формула</t>
        </is>
      </c>
      <c r="C1" s="1" t="inlineStr">
        <is>
          <t>Basic</t>
        </is>
      </c>
      <c r="D1" s="1" t="inlineStr">
        <is>
          <t>Standard</t>
        </is>
      </c>
      <c r="E1" s="1" t="inlineStr">
        <is>
          <t>Pro</t>
        </is>
      </c>
    </row>
    <row r="2">
      <c r="A2" s="2" t="inlineStr">
        <is>
          <t>Будівель у клієнта з high usage</t>
        </is>
      </c>
      <c r="B2" s="2" t="inlineStr">
        <is>
          <t>максимум тарифу</t>
        </is>
      </c>
      <c r="C2" s="11" t="n">
        <v>2</v>
      </c>
      <c r="D2" s="11" t="n">
        <v>5</v>
      </c>
      <c r="E2" s="11" t="n">
        <v>20</v>
      </c>
    </row>
    <row r="3">
      <c r="A3" s="2" t="inlineStr">
        <is>
          <t>Рахунок без захисного правила, EUR</t>
        </is>
      </c>
      <c r="B3" s="2" t="inlineStr">
        <is>
          <t>база + ціна × n</t>
        </is>
      </c>
      <c r="C3" s="14">
        <f>'Тарифи'!C2+'Тарифи'!C3*C2</f>
        <v/>
      </c>
      <c r="D3" s="14">
        <f>'Тарифи'!D2+'Тарифи'!D3*D2</f>
        <v/>
      </c>
      <c r="E3" s="14">
        <f>'Тарифи'!E2+'Тарифи'!E3*E2</f>
        <v/>
      </c>
    </row>
    <row r="4">
      <c r="A4" s="2" t="inlineStr">
        <is>
          <t>COGS, EUR</t>
        </is>
      </c>
      <c r="B4" s="2" t="inlineStr">
        <is>
          <t>COGS бази + n × COGS high</t>
        </is>
      </c>
      <c r="C4" s="14">
        <f>'Тарифи'!C8+C2*x4_cogs_high</f>
        <v/>
      </c>
      <c r="D4" s="14">
        <f>'Тарифи'!D8+D2*x4_cogs_high</f>
        <v/>
      </c>
      <c r="E4" s="14">
        <f>'Тарифи'!E8+E2*x4_cogs_high</f>
        <v/>
      </c>
    </row>
    <row r="5">
      <c r="A5" s="2" t="inlineStr">
        <is>
          <t>Gross margin без правила</t>
        </is>
      </c>
      <c r="B5" s="2" t="inlineStr"/>
      <c r="C5" s="15">
        <f>(C3-C4)/C3</f>
        <v/>
      </c>
      <c r="D5" s="15">
        <f>(D3-D4)/D3</f>
        <v/>
      </c>
      <c r="E5" s="15">
        <f>(E3-E4)/E3</f>
        <v/>
      </c>
    </row>
    <row r="6">
      <c r="A6" s="2" t="inlineStr">
        <is>
          <t>Overage за правилом, EUR</t>
        </is>
      </c>
      <c r="B6" s="2" t="inlineStr">
        <is>
          <t>n × (доплата + SMS)</t>
        </is>
      </c>
      <c r="C6" s="14">
        <f>C2*x4_over</f>
        <v/>
      </c>
      <c r="D6" s="14">
        <f>D2*x4_over</f>
        <v/>
      </c>
      <c r="E6" s="14">
        <f>E2*x4_over</f>
        <v/>
      </c>
    </row>
    <row r="7">
      <c r="A7" s="2" t="inlineStr">
        <is>
          <t>Рахунок з правилом, EUR</t>
        </is>
      </c>
      <c r="B7" s="2" t="inlineStr"/>
      <c r="C7" s="14">
        <f>C3+C6</f>
        <v/>
      </c>
      <c r="D7" s="14">
        <f>D3+D6</f>
        <v/>
      </c>
      <c r="E7" s="14">
        <f>E3+E6</f>
        <v/>
      </c>
    </row>
    <row r="8">
      <c r="A8" s="2" t="inlineStr">
        <is>
          <t>Gross margin з правилом</t>
        </is>
      </c>
      <c r="B8" s="2" t="inlineStr"/>
      <c r="C8" s="15">
        <f>(C7-C4)/C7</f>
        <v/>
      </c>
      <c r="D8" s="15">
        <f>(D7-D4)/D7</f>
        <v/>
      </c>
      <c r="E8" s="15">
        <f>(E7-E4)/E7</f>
        <v/>
      </c>
    </row>
    <row r="9">
      <c r="A9" s="2" t="inlineStr">
        <is>
          <t>Межа 70% виконана без правила</t>
        </is>
      </c>
      <c r="B9" s="2" t="inlineStr"/>
      <c r="C9" s="14">
        <f>IF(C5&gt;=x4_gm,"так","ні")</f>
        <v/>
      </c>
      <c r="D9" s="14">
        <f>IF(D5&gt;=x4_gm,"так","ні")</f>
        <v/>
      </c>
      <c r="E9" s="14">
        <f>IF(E5&gt;=x4_gm,"так","ні")</f>
        <v/>
      </c>
    </row>
    <row r="10">
      <c r="A10" s="2" t="inlineStr">
        <is>
          <t>Межа 70% виконана з правилом</t>
        </is>
      </c>
      <c r="B10" s="2" t="inlineStr"/>
      <c r="C10" s="14">
        <f>IF(C8&gt;=x4_gm,"так","ні")</f>
        <v/>
      </c>
      <c r="D10" s="14">
        <f>IF(D8&gt;=x4_gm,"так","ні")</f>
        <v/>
      </c>
      <c r="E10" s="14">
        <f>IF(E8&gt;=x4_gm,"так","ні")</f>
        <v/>
      </c>
    </row>
    <row r="12">
      <c r="A12" s="1" t="inlineStr">
        <is>
          <t>Неоплачених місяців з 12 (A9)</t>
        </is>
      </c>
      <c r="B12" s="1" t="inlineStr">
        <is>
          <t>Формула</t>
        </is>
      </c>
      <c r="C12" s="17" t="n">
        <v>0</v>
      </c>
      <c r="D12" s="17" t="n">
        <v>1</v>
      </c>
      <c r="E12" s="17" t="n">
        <v>2</v>
      </c>
      <c r="F12" s="17" t="n">
        <v>3</v>
      </c>
    </row>
    <row r="13">
      <c r="A13" s="2" t="inlineStr">
        <is>
          <t>Overage, базовий сценарій, EUR</t>
        </is>
      </c>
      <c r="B13" s="2" t="inlineStr">
        <is>
          <t>overage − буд. high × 50 × m / 12</t>
        </is>
      </c>
      <c r="C13" s="14">
        <f>'Сценарії'!$C$12-'Сценарії'!$C$11*x4_fee*C12/x4_episode</f>
        <v/>
      </c>
      <c r="D13" s="14">
        <f>'Сценарії'!$C$12-'Сценарії'!$C$11*x4_fee*D12/x4_episode</f>
        <v/>
      </c>
      <c r="E13" s="14">
        <f>'Сценарії'!$C$12-'Сценарії'!$C$11*x4_fee*E12/x4_episode</f>
        <v/>
      </c>
      <c r="F13" s="14">
        <f>'Сценарії'!$C$12-'Сценарії'!$C$11*x4_fee*F12/x4_episode</f>
        <v/>
      </c>
    </row>
    <row r="14">
      <c r="A14" s="2" t="inlineStr">
        <is>
          <t>Revenue, базовий сценарій, EUR</t>
        </is>
      </c>
      <c r="B14" s="2" t="inlineStr">
        <is>
          <t>Revenue − та сама втрата</t>
        </is>
      </c>
      <c r="C14" s="14">
        <f>'Сценарії'!$C$13-'Сценарії'!$C$11*x4_fee*C12/x4_episode</f>
        <v/>
      </c>
      <c r="D14" s="14">
        <f>'Сценарії'!$C$13-'Сценарії'!$C$11*x4_fee*D12/x4_episode</f>
        <v/>
      </c>
      <c r="E14" s="14">
        <f>'Сценарії'!$C$13-'Сценарії'!$C$11*x4_fee*E12/x4_episode</f>
        <v/>
      </c>
      <c r="F14" s="14">
        <f>'Сценарії'!$C$13-'Сценарії'!$C$11*x4_fee*F12/x4_episode</f>
        <v/>
      </c>
    </row>
    <row r="15">
      <c r="A15" s="2" t="inlineStr">
        <is>
          <t>Gross margin, базовий сценарій</t>
        </is>
      </c>
      <c r="B15" s="2" t="inlineStr">
        <is>
          <t>(Revenue − COGS) / Revenue</t>
        </is>
      </c>
      <c r="C15" s="15">
        <f>(C14-'Сценарії'!$C$16)/C14</f>
        <v/>
      </c>
      <c r="D15" s="15">
        <f>(D14-'Сценарії'!$C$16)/D14</f>
        <v/>
      </c>
      <c r="E15" s="15">
        <f>(E14-'Сценарії'!$C$16)/E14</f>
        <v/>
      </c>
      <c r="F15" s="15">
        <f>(F14-'Сценарії'!$C$16)/F14</f>
        <v/>
      </c>
    </row>
    <row r="16">
      <c r="A16" s="2" t="inlineStr">
        <is>
          <t>GM Pro, 20 буд., неоплачений місяць</t>
        </is>
      </c>
      <c r="B16" s="2" t="inlineStr">
        <is>
          <t>рахунок без доплати</t>
        </is>
      </c>
      <c r="C16" s="15">
        <f>($E$7-$E$2*x4_fee-$E$4)/($E$7-$E$2*x4_fee)</f>
        <v/>
      </c>
      <c r="D16" s="15">
        <f>($E$7-$E$2*x4_fee-$E$4)/($E$7-$E$2*x4_fee)</f>
        <v/>
      </c>
      <c r="E16" s="15">
        <f>($E$7-$E$2*x4_fee-$E$4)/($E$7-$E$2*x4_fee)</f>
        <v/>
      </c>
      <c r="F16" s="15">
        <f>($E$7-$E$2*x4_fee-$E$4)/($E$7-$E$2*x4_fee)</f>
        <v/>
      </c>
    </row>
    <row r="17">
      <c r="A17" s="2" t="inlineStr">
        <is>
          <t>GM Pro, 20 буд., за 12 місяців</t>
        </is>
      </c>
      <c r="B17" s="2" t="inlineStr">
        <is>
          <t>зважено за місяцями</t>
        </is>
      </c>
      <c r="C17" s="15">
        <f>($E$7*(x4_episode-C12)+($E$7-$E$2*x4_fee)*C12-x4_episode*$E$4)/($E$7*(x4_episode-C12)+($E$7-$E$2*x4_fee)*C12)</f>
        <v/>
      </c>
      <c r="D17" s="15">
        <f>($E$7*(x4_episode-D12)+($E$7-$E$2*x4_fee)*D12-x4_episode*$E$4)/($E$7*(x4_episode-D12)+($E$7-$E$2*x4_fee)*D12)</f>
        <v/>
      </c>
      <c r="E17" s="15">
        <f>($E$7*(x4_episode-E12)+($E$7-$E$2*x4_fee)*E12-x4_episode*$E$4)/($E$7*(x4_episode-E12)+($E$7-$E$2*x4_fee)*E12)</f>
        <v/>
      </c>
      <c r="F17" s="15">
        <f>($E$7*(x4_episode-F12)+($E$7-$E$2*x4_fee)*F12-x4_episode*$E$4)/($E$7*(x4_episode-F12)+($E$7-$E$2*x4_fee)*F12)</f>
        <v/>
      </c>
    </row>
  </sheetData>
  <pageMargins left="0.3" right="0.3" top="0.4" bottom="0.4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Показник за місяць, EUR</t>
        </is>
      </c>
      <c r="B1" s="1" t="inlineStr">
        <is>
          <t>Низький 70%</t>
        </is>
      </c>
      <c r="C1" s="1" t="inlineStr">
        <is>
          <t>Базовий 100%</t>
        </is>
      </c>
      <c r="D1" s="1" t="inlineStr">
        <is>
          <t>Високий 140%</t>
        </is>
      </c>
    </row>
    <row r="2">
      <c r="A2" s="2" t="inlineStr">
        <is>
          <t>Коефіцієнт масштабу</t>
        </is>
      </c>
      <c r="B2" s="18" t="n">
        <v>0.7</v>
      </c>
      <c r="C2" s="18" t="n">
        <v>1</v>
      </c>
      <c r="D2" s="18" t="n">
        <v>1.4</v>
      </c>
    </row>
    <row r="3">
      <c r="A3" s="2" t="inlineStr">
        <is>
          <t>Платні будівлі (billable units)</t>
        </is>
      </c>
      <c r="B3" s="19">
        <f>x4_scale*B2</f>
        <v/>
      </c>
      <c r="C3" s="19">
        <f>x4_scale*C2</f>
        <v/>
      </c>
      <c r="D3" s="19">
        <f>x4_scale*D2</f>
        <v/>
      </c>
    </row>
    <row r="4">
      <c r="A4" s="2" t="inlineStr">
        <is>
          <t>Середнє usage, будівель на клієнта</t>
        </is>
      </c>
      <c r="B4" s="19">
        <f>x4_mix_B*x4_use_B+x4_mix_S*x4_use_S+x4_mix_P*x4_use_P</f>
        <v/>
      </c>
      <c r="C4" s="19">
        <f>x4_mix_B*x4_use_B+x4_mix_S*x4_use_S+x4_mix_P*x4_use_P</f>
        <v/>
      </c>
      <c r="D4" s="19">
        <f>x4_mix_B*x4_use_B+x4_mix_S*x4_use_S+x4_mix_P*x4_use_P</f>
        <v/>
      </c>
    </row>
    <row r="5">
      <c r="A5" s="2" t="inlineStr">
        <is>
          <t>Платні клієнти</t>
        </is>
      </c>
      <c r="B5" s="19">
        <f>B3/B4</f>
        <v/>
      </c>
      <c r="C5" s="19">
        <f>C3/C4</f>
        <v/>
      </c>
      <c r="D5" s="19">
        <f>D3/D4</f>
        <v/>
      </c>
    </row>
    <row r="6">
      <c r="A6" s="2" t="inlineStr">
        <is>
          <t>Клієнти Basic</t>
        </is>
      </c>
      <c r="B6" s="19">
        <f>B5*x4_mix_B</f>
        <v/>
      </c>
      <c r="C6" s="19">
        <f>C5*x4_mix_B</f>
        <v/>
      </c>
      <c r="D6" s="19">
        <f>D5*x4_mix_B</f>
        <v/>
      </c>
    </row>
    <row r="7">
      <c r="A7" s="2" t="inlineStr">
        <is>
          <t>Клієнти Standard</t>
        </is>
      </c>
      <c r="B7" s="19">
        <f>B5*x4_mix_S</f>
        <v/>
      </c>
      <c r="C7" s="19">
        <f>C5*x4_mix_S</f>
        <v/>
      </c>
      <c r="D7" s="19">
        <f>D5*x4_mix_S</f>
        <v/>
      </c>
    </row>
    <row r="8">
      <c r="A8" s="2" t="inlineStr">
        <is>
          <t>Клієнти Pro</t>
        </is>
      </c>
      <c r="B8" s="19">
        <f>B5*x4_mix_P</f>
        <v/>
      </c>
      <c r="C8" s="19">
        <f>C5*x4_mix_P</f>
        <v/>
      </c>
      <c r="D8" s="19">
        <f>D5*x4_mix_P</f>
        <v/>
      </c>
    </row>
    <row r="9">
      <c r="A9" s="2" t="inlineStr">
        <is>
          <t>Revenue: базові платежі</t>
        </is>
      </c>
      <c r="B9" s="14">
        <f>B6*x4_base_B+B7*x4_base_S+B8*x4_base_P</f>
        <v/>
      </c>
      <c r="C9" s="14">
        <f>C6*x4_base_B+C7*x4_base_S+C8*x4_base_P</f>
        <v/>
      </c>
      <c r="D9" s="14">
        <f>D6*x4_base_B+D7*x4_base_S+D8*x4_base_P</f>
        <v/>
      </c>
    </row>
    <row r="10">
      <c r="A10" s="2" t="inlineStr">
        <is>
          <t>Revenue: будівлі (usage)</t>
        </is>
      </c>
      <c r="B10" s="14">
        <f>B6*x4_use_B*x4_pb_B+B7*x4_use_S*x4_pb_S+B8*x4_use_P*x4_pb_P</f>
        <v/>
      </c>
      <c r="C10" s="14">
        <f>C6*x4_use_B*x4_pb_B+C7*x4_use_S*x4_pb_S+C8*x4_use_P*x4_pb_P</f>
        <v/>
      </c>
      <c r="D10" s="14">
        <f>D6*x4_use_B*x4_pb_B+D7*x4_use_S*x4_pb_S+D8*x4_use_P*x4_pb_P</f>
        <v/>
      </c>
    </row>
    <row r="11">
      <c r="A11" s="2" t="inlineStr">
        <is>
          <t>Будівлі з high usage</t>
        </is>
      </c>
      <c r="B11" s="19">
        <f>B3*x4_high_share</f>
        <v/>
      </c>
      <c r="C11" s="19">
        <f>C3*x4_high_share</f>
        <v/>
      </c>
      <c r="D11" s="19">
        <f>D3*x4_high_share</f>
        <v/>
      </c>
    </row>
    <row r="12">
      <c r="A12" s="2" t="inlineStr">
        <is>
          <t>Revenue: overage</t>
        </is>
      </c>
      <c r="B12" s="14">
        <f>B11*x4_over</f>
        <v/>
      </c>
      <c r="C12" s="14">
        <f>C11*x4_over</f>
        <v/>
      </c>
      <c r="D12" s="14">
        <f>D11*x4_over</f>
        <v/>
      </c>
    </row>
    <row r="13">
      <c r="A13" s="2" t="inlineStr">
        <is>
          <t>Revenue</t>
        </is>
      </c>
      <c r="B13" s="14">
        <f>B9+B10+B12</f>
        <v/>
      </c>
      <c r="C13" s="14">
        <f>C9+C10+C12</f>
        <v/>
      </c>
      <c r="D13" s="14">
        <f>D9+D10+D12</f>
        <v/>
      </c>
    </row>
    <row r="14">
      <c r="A14" s="2" t="inlineStr">
        <is>
          <t>COGS: база клієнтів</t>
        </is>
      </c>
      <c r="B14" s="14">
        <f>B6*x4_cc_B+B7*x4_cc_S+B8*x4_cc_P</f>
        <v/>
      </c>
      <c r="C14" s="14">
        <f>C6*x4_cc_B+C7*x4_cc_S+C8*x4_cc_P</f>
        <v/>
      </c>
      <c r="D14" s="14">
        <f>D6*x4_cc_B+D7*x4_cc_S+D8*x4_cc_P</f>
        <v/>
      </c>
    </row>
    <row r="15">
      <c r="A15" s="2" t="inlineStr">
        <is>
          <t>COGS: будівлі</t>
        </is>
      </c>
      <c r="B15" s="14">
        <f>(B3-B11)*x4_cogs+B11*x4_cogs_high</f>
        <v/>
      </c>
      <c r="C15" s="14">
        <f>(C3-C11)*x4_cogs+C11*x4_cogs_high</f>
        <v/>
      </c>
      <c r="D15" s="14">
        <f>(D3-D11)*x4_cogs+D11*x4_cogs_high</f>
        <v/>
      </c>
    </row>
    <row r="16">
      <c r="A16" s="2" t="inlineStr">
        <is>
          <t>COGS</t>
        </is>
      </c>
      <c r="B16" s="14">
        <f>B14+B15</f>
        <v/>
      </c>
      <c r="C16" s="14">
        <f>C14+C15</f>
        <v/>
      </c>
      <c r="D16" s="14">
        <f>D14+D15</f>
        <v/>
      </c>
    </row>
    <row r="17">
      <c r="A17" s="2" t="inlineStr">
        <is>
          <t>Gross profit</t>
        </is>
      </c>
      <c r="B17" s="14">
        <f>B13-B16</f>
        <v/>
      </c>
      <c r="C17" s="14">
        <f>C13-C16</f>
        <v/>
      </c>
      <c r="D17" s="14">
        <f>D13-D16</f>
        <v/>
      </c>
    </row>
    <row r="18">
      <c r="A18" s="2" t="inlineStr">
        <is>
          <t>Gross margin</t>
        </is>
      </c>
      <c r="B18" s="15">
        <f>B17/B13</f>
        <v/>
      </c>
      <c r="C18" s="15">
        <f>C17/C13</f>
        <v/>
      </c>
      <c r="D18" s="15">
        <f>D17/D13</f>
        <v/>
      </c>
    </row>
    <row r="19">
      <c r="A19" s="2" t="inlineStr">
        <is>
          <t>ARPA, EUR на клієнта</t>
        </is>
      </c>
      <c r="B19" s="14">
        <f>B13/B5</f>
        <v/>
      </c>
      <c r="C19" s="14">
        <f>C13/C5</f>
        <v/>
      </c>
      <c r="D19" s="14">
        <f>D13/D5</f>
        <v/>
      </c>
    </row>
    <row r="20">
      <c r="A20" s="2" t="inlineStr">
        <is>
          <t>Revenue на будівлю</t>
        </is>
      </c>
      <c r="B20" s="14">
        <f>B13/B3</f>
        <v/>
      </c>
      <c r="C20" s="14">
        <f>C13/C3</f>
        <v/>
      </c>
      <c r="D20" s="14">
        <f>D13/D3</f>
        <v/>
      </c>
    </row>
  </sheetData>
  <pageMargins left="0.3" right="0.3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2026-10-05T19:14:08Z</dcterms:created>
  <dcterms:modified xmlns:dcterms="http://purl.org/dc/terms/" xmlns:xsi="http://www.w3.org/2001/XMLSchema-instance" xsi:type="dcterms:W3CDTF">2026-10-05T19:14:08Z</dcterms:modified>
</cp:coreProperties>
</file>