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Параметри ЛР4" sheetId="1" state="visible" r:id="rId3"/>
    <sheet name="Журнал припущень" sheetId="2" state="visible" r:id="rId4"/>
    <sheet name="Моделі" sheetId="3" state="visible" r:id="rId5"/>
    <sheet name="Тарифи" sheetId="4" state="visible" r:id="rId6"/>
    <sheet name="High usage" sheetId="5" state="visible" r:id="rId7"/>
    <sheet name="Сценарії" sheetId="6" state="visible" r:id="rId8"/>
  </sheets>
  <definedNames>
    <definedName function="false" hidden="false" name="x4_base_B" vbProcedure="false">Тарифи!$C$2</definedName>
    <definedName function="false" hidden="false" name="x4_base_P" vbProcedure="false">Тарифи!$E$2</definedName>
    <definedName function="false" hidden="false" name="x4_base_S" vbProcedure="false">Тарифи!$D$2</definedName>
    <definedName function="false" hidden="false" name="x4_cc_B" vbProcedure="false">Тарифи!$C$8</definedName>
    <definedName function="false" hidden="false" name="x4_cc_P" vbProcedure="false">Тарифи!$E$8</definedName>
    <definedName function="false" hidden="false" name="x4_cc_S" vbProcedure="false">Тарифи!$D$8</definedName>
    <definedName function="false" hidden="false" name="x4_cogs" vbProcedure="false">'Параметри ЛР4'!$C$22</definedName>
    <definedName function="false" hidden="false" name="x4_cogs_high" vbProcedure="false">'Параметри ЛР4'!$C$23</definedName>
    <definedName function="false" hidden="false" name="x4_cogs_var" vbProcedure="false">'Параметри ЛР4'!$C$2</definedName>
    <definedName function="false" hidden="false" name="x4_energy" vbProcedure="false">'Параметри ЛР4'!$C$18</definedName>
    <definedName function="false" hidden="false" name="x4_episode" vbProcedure="false">'Параметри ЛР4'!$C$20</definedName>
    <definedName function="false" hidden="false" name="x4_fee" vbProcedure="false">'Параметри ЛР4'!$C$15</definedName>
    <definedName function="false" hidden="false" name="x4_floor_unit" vbProcedure="false">'Параметри ЛР4'!$C$25</definedName>
    <definedName function="false" hidden="false" name="x4_gain" vbProcedure="false">'Параметри ЛР4'!$C$19</definedName>
    <definedName function="false" hidden="false" name="x4_gm" vbProcedure="false">'Параметри ЛР4'!$C$3</definedName>
    <definedName function="false" hidden="false" name="x4_high_share" vbProcedure="false">'Параметри ЛР4'!$C$16</definedName>
    <definedName function="false" hidden="false" name="x4_mix_B" vbProcedure="false">Тарифи!$C$5</definedName>
    <definedName function="false" hidden="false" name="x4_mix_P" vbProcedure="false">Тарифи!$E$5</definedName>
    <definedName function="false" hidden="false" name="x4_mix_S" vbProcedure="false">Тарифи!$D$5</definedName>
    <definedName function="false" hidden="false" name="x4_over" vbProcedure="false">'Параметри ЛР4'!$C$24</definedName>
    <definedName function="false" hidden="false" name="x4_pb_B" vbProcedure="false">Тарифи!$C$3</definedName>
    <definedName function="false" hidden="false" name="x4_pb_P" vbProcedure="false">Тарифи!$E$3</definedName>
    <definedName function="false" hidden="false" name="x4_pb_S" vbProcedure="false">Тарифи!$D$3</definedName>
    <definedName function="false" hidden="false" name="x4_readings" vbProcedure="false">'Параметри ЛР4'!$C$5</definedName>
    <definedName function="false" hidden="false" name="x4_scale" vbProcedure="false">'Параметри ЛР4'!$C$4</definedName>
    <definedName function="false" hidden="false" name="x4_sim" vbProcedure="false">'Параметри ЛР4'!$C$6</definedName>
    <definedName function="false" hidden="false" name="x4_sms_cost" vbProcedure="false">'Параметри ЛР4'!$C$7</definedName>
    <definedName function="false" hidden="false" name="x4_sms_high" vbProcedure="false">'Параметри ЛР4'!$C$13</definedName>
    <definedName function="false" hidden="false" name="x4_sms_incl" vbProcedure="false">'Параметри ЛР4'!$C$11</definedName>
    <definedName function="false" hidden="false" name="x4_sms_price" vbProcedure="false">'Параметри ЛР4'!$C$12</definedName>
    <definedName function="false" hidden="false" name="x4_sms_typ" vbProcedure="false">'Параметри ЛР4'!$C$8</definedName>
    <definedName function="false" hidden="false" name="x4_sup_h" vbProcedure="false">'Параметри ЛР4'!$C$9</definedName>
    <definedName function="false" hidden="false" name="x4_sup_high" vbProcedure="false">'Параметри ЛР4'!$C$14</definedName>
    <definedName function="false" hidden="false" name="x4_sup_rate" vbProcedure="false">'Параметри ЛР4'!$C$10</definedName>
    <definedName function="false" hidden="false" name="x4_use_B" vbProcedure="false">Тарифи!$C$6</definedName>
    <definedName function="false" hidden="false" name="x4_use_P" vbProcedure="false">Тарифи!$E$6</definedName>
    <definedName function="false" hidden="false" name="x4_use_S" vbProcedure="false">Тарифи!$D$6</definedName>
    <definedName function="false" hidden="false" name="x4_value" vbProcedure="false">'Параметри ЛР4'!$C$17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<sst xmlns="http://schemas.openxmlformats.org/spreadsheetml/2006/main" count="298" uniqueCount="237">
  <si>
    <t xml:space="preserve">Ім'я</t>
  </si>
  <si>
    <t xml:space="preserve">Показник</t>
  </si>
  <si>
    <t xml:space="preserve">Значення</t>
  </si>
  <si>
    <t xml:space="preserve">Одиниця</t>
  </si>
  <si>
    <t xml:space="preserve">Тип</t>
  </si>
  <si>
    <t xml:space="preserve">Пояснення</t>
  </si>
  <si>
    <t xml:space="preserve">x4_cogs_var</t>
  </si>
  <si>
    <t xml:space="preserve">COGS на будівлю за варіантом</t>
  </si>
  <si>
    <t xml:space="preserve">EUR/міс.</t>
  </si>
  <si>
    <t xml:space="preserve">Д</t>
  </si>
  <si>
    <t xml:space="preserve">варіант 14, ЛР № 4</t>
  </si>
  <si>
    <t xml:space="preserve">x4_gm</t>
  </si>
  <si>
    <t xml:space="preserve">Target gross margin</t>
  </si>
  <si>
    <t xml:space="preserve">частка</t>
  </si>
  <si>
    <t xml:space="preserve">варіант 14</t>
  </si>
  <si>
    <t xml:space="preserve">x4_scale</t>
  </si>
  <si>
    <t xml:space="preserve">Масштаб Y3</t>
  </si>
  <si>
    <t xml:space="preserve">будівель/міс.</t>
  </si>
  <si>
    <t xml:space="preserve">x4_readings</t>
  </si>
  <si>
    <t xml:space="preserve">Обробка і зберігання показів</t>
  </si>
  <si>
    <t xml:space="preserve">EUR/буд./міс.</t>
  </si>
  <si>
    <t xml:space="preserve">ЛР № 1: 86 400 показів × 0,075 / 1000</t>
  </si>
  <si>
    <t xml:space="preserve">x4_sim</t>
  </si>
  <si>
    <t xml:space="preserve">Мобільний зв'язок шлюзу</t>
  </si>
  <si>
    <t xml:space="preserve">ЛР № 1</t>
  </si>
  <si>
    <t xml:space="preserve">x4_sms_cost</t>
  </si>
  <si>
    <t xml:space="preserve">Собівартість SMS</t>
  </si>
  <si>
    <t xml:space="preserve">EUR</t>
  </si>
  <si>
    <t xml:space="preserve">x4_sms_typ</t>
  </si>
  <si>
    <t xml:space="preserve">SMS на будівлю, типово</t>
  </si>
  <si>
    <t xml:space="preserve">шт./міс.</t>
  </si>
  <si>
    <t xml:space="preserve">x4_sup_h</t>
  </si>
  <si>
    <t xml:space="preserve">Підтримка на будівлю, типово</t>
  </si>
  <si>
    <t xml:space="preserve">год/міс.</t>
  </si>
  <si>
    <t xml:space="preserve">x4_sup_rate</t>
  </si>
  <si>
    <t xml:space="preserve">Вартість години підтримки</t>
  </si>
  <si>
    <t xml:space="preserve">EUR/год</t>
  </si>
  <si>
    <t xml:space="preserve">x4_sms_incl</t>
  </si>
  <si>
    <t xml:space="preserve">SMS, включені на будівлю</t>
  </si>
  <si>
    <t xml:space="preserve">П</t>
  </si>
  <si>
    <t xml:space="preserve">тарифне правило</t>
  </si>
  <si>
    <t xml:space="preserve">x4_sms_price</t>
  </si>
  <si>
    <t xml:space="preserve">Ціна SMS понад ліміт</t>
  </si>
  <si>
    <t xml:space="preserve">не нижче floor 0,20</t>
  </si>
  <si>
    <t xml:space="preserve">x4_sms_high</t>
  </si>
  <si>
    <t xml:space="preserve">SMS у будівлі з high usage</t>
  </si>
  <si>
    <t xml:space="preserve">A3</t>
  </si>
  <si>
    <t xml:space="preserve">x4_sup_high</t>
  </si>
  <si>
    <t xml:space="preserve">Підтримка будівлі з high usage</t>
  </si>
  <si>
    <t xml:space="preserve">A3, нестабільні лічильники</t>
  </si>
  <si>
    <t xml:space="preserve">x4_fee</t>
  </si>
  <si>
    <t xml:space="preserve">Доплата за нестабільний облік</t>
  </si>
  <si>
    <t xml:space="preserve">захисне правило</t>
  </si>
  <si>
    <t xml:space="preserve">x4_high_share</t>
  </si>
  <si>
    <t xml:space="preserve">Частка будівель з high usage</t>
  </si>
  <si>
    <t xml:space="preserve">x4_value</t>
  </si>
  <si>
    <t xml:space="preserve">Цінність на будівлю</t>
  </si>
  <si>
    <t xml:space="preserve">x4_energy</t>
  </si>
  <si>
    <t xml:space="preserve">Економія енергії на будівлю</t>
  </si>
  <si>
    <t xml:space="preserve">x4_gain</t>
  </si>
  <si>
    <t xml:space="preserve">Частка економії в gain-sharing</t>
  </si>
  <si>
    <t xml:space="preserve">альтернатива 2</t>
  </si>
  <si>
    <t xml:space="preserve">x4_episode</t>
  </si>
  <si>
    <t xml:space="preserve">Тривалість епізоду нестабільності</t>
  </si>
  <si>
    <t xml:space="preserve">міс.</t>
  </si>
  <si>
    <t xml:space="preserve">A9</t>
  </si>
  <si>
    <t xml:space="preserve">x4_cogs</t>
  </si>
  <si>
    <t xml:space="preserve">COGS на будівлю з компонентів ЛР № 1</t>
  </si>
  <si>
    <t xml:space="preserve">Р</t>
  </si>
  <si>
    <t xml:space="preserve">x4_cogs_high</t>
  </si>
  <si>
    <t xml:space="preserve">COGS будівлі з high usage</t>
  </si>
  <si>
    <t xml:space="preserve">x4_over</t>
  </si>
  <si>
    <t xml:space="preserve">Overage з будівлі з high usage</t>
  </si>
  <si>
    <t xml:space="preserve">доплата + SMS понад ліміт</t>
  </si>
  <si>
    <t xml:space="preserve">x4_floor_unit</t>
  </si>
  <si>
    <t xml:space="preserve">Floor price на будівлю</t>
  </si>
  <si>
    <t xml:space="preserve">COGS / (1 − GM)</t>
  </si>
  <si>
    <t xml:space="preserve">ID</t>
  </si>
  <si>
    <t xml:space="preserve">Припущення</t>
  </si>
  <si>
    <t xml:space="preserve">Підстава</t>
  </si>
  <si>
    <t xml:space="preserve">Що змінює</t>
  </si>
  <si>
    <t xml:space="preserve">A1</t>
  </si>
  <si>
    <t xml:space="preserve">Розподіл клієнтів за тарифами</t>
  </si>
  <si>
    <t xml:space="preserve">Basic 60%, Standard 30%, Pro 10% клієнтів</t>
  </si>
  <si>
    <t xml:space="preserve">П: сегмент S1 ЛР № 1 складається переважно з власників однієї будівлі; керуючі компанії з портфелем є меншістю</t>
  </si>
  <si>
    <t xml:space="preserve">Revenue і COGS</t>
  </si>
  <si>
    <t xml:space="preserve">A2</t>
  </si>
  <si>
    <t xml:space="preserve">Середнє usage</t>
  </si>
  <si>
    <t xml:space="preserve">будівель на клієнта: Basic 1,0; Standard 2,0; Pro 5,0 (у середньому 1,7); на будівлю до 30 точок обліку, 12 SMS, 0,16 год підтримки</t>
  </si>
  <si>
    <t xml:space="preserve">П: типова будівля і v = 16 EUR з ЛР № 1; межа 30 лічильників з ЛР № 2</t>
  </si>
  <si>
    <t xml:space="preserve">COGS і margin</t>
  </si>
  <si>
    <t xml:space="preserve">Високе usage</t>
  </si>
  <si>
    <t xml:space="preserve">10% будівель у стані «нестабільний облік»: 0,6 год підтримки і 40 SMS на місяць; клієнт Pro з 20 будівлями</t>
  </si>
  <si>
    <t xml:space="preserve">П: поріг пропусків 10% з A5 ЛР № 1, ризик варіанта ЛР № 3</t>
  </si>
  <si>
    <t xml:space="preserve">ризик тарифу</t>
  </si>
  <si>
    <t xml:space="preserve">A4</t>
  </si>
  <si>
    <t xml:space="preserve">COGS на одного клієнта (базова частина)</t>
  </si>
  <si>
    <t xml:space="preserve">Basic 0,10 год, Standard 0,20 год, Pro 0,50 год × 30 EUR = 3, 6, 15 EUR на місяць</t>
  </si>
  <si>
    <t xml:space="preserve">П: адміністрування акаунта, рахунок, ролі, для Pro пріоритетна підтримка і квартальний огляд</t>
  </si>
  <si>
    <t xml:space="preserve">COGS бази</t>
  </si>
  <si>
    <t xml:space="preserve">A5</t>
  </si>
  <si>
    <t xml:space="preserve">Розрахунковий період і валюта</t>
  </si>
  <si>
    <t xml:space="preserve">календарний місяць, EUR, ціни без ПДВ</t>
  </si>
  <si>
    <t xml:space="preserve">Д: варіант задає COGS у EUR за місяць</t>
  </si>
  <si>
    <t xml:space="preserve">усі суми</t>
  </si>
  <si>
    <t xml:space="preserve">A6</t>
  </si>
  <si>
    <t xml:space="preserve">Підключення будівлі</t>
  </si>
  <si>
    <t xml:space="preserve">шлюз і монтаж оплачуються разово за собівартістю, поза місячною моделлю</t>
  </si>
  <si>
    <t xml:space="preserve">П: обладнання не входить у v = 16 EUR ЛР № 1</t>
  </si>
  <si>
    <t xml:space="preserve">не входить у Revenue і COGS</t>
  </si>
  <si>
    <t xml:space="preserve">A7</t>
  </si>
  <si>
    <t xml:space="preserve">Сценарії</t>
  </si>
  <si>
    <t xml:space="preserve">70%, 100%, 140% від 85 будівель; mix, usage і ціни сталі</t>
  </si>
  <si>
    <t xml:space="preserve">Д: методичка, розділ 3.2</t>
  </si>
  <si>
    <t xml:space="preserve">Revenue, COGS</t>
  </si>
  <si>
    <t xml:space="preserve">A8</t>
  </si>
  <si>
    <t xml:space="preserve">Готовність платити за будівлю</t>
  </si>
  <si>
    <t xml:space="preserve">130...135 EUR на місяць за будівлю, не більше 15% цінності 900 EUR</t>
  </si>
  <si>
    <t xml:space="preserve">П: гіпотеза A2 ЛР № 1, листами про намір не перевірена</t>
  </si>
  <si>
    <t xml:space="preserve">Revenue, GM</t>
  </si>
  <si>
    <t xml:space="preserve">Стаціонарний стан доплати за нестабільний облік</t>
  </si>
  <si>
    <t xml:space="preserve">у сценаріях Y3 усі будівлі зі статусом «нестабільний облік» уже пройшли 2 місяці спостереження і 1 пільговий місяць; епізод нестабільності триває 12 місяців</t>
  </si>
  <si>
    <t xml:space="preserve">П: спрощення; вплив від 1 до 3 неоплачених місяців наведено в додатку</t>
  </si>
  <si>
    <t xml:space="preserve">Revenue overage, GM</t>
  </si>
  <si>
    <t xml:space="preserve">Модель</t>
  </si>
  <si>
    <t xml:space="preserve">Pricing metric</t>
  </si>
  <si>
    <t xml:space="preserve">Передбачуваність доходу</t>
  </si>
  <si>
    <t xml:space="preserve">Захист від надмірного використання</t>
  </si>
  <si>
    <t xml:space="preserve">Простота продажу</t>
  </si>
  <si>
    <t xml:space="preserve">Відповідність цінності</t>
  </si>
  <si>
    <t xml:space="preserve">Вимірюваність metric у межах MVP</t>
  </si>
  <si>
    <t xml:space="preserve">Оцінка 1...5</t>
  </si>
  <si>
    <t xml:space="preserve">Ранг</t>
  </si>
  <si>
    <t xml:space="preserve">Hybrid base + usage (задана)</t>
  </si>
  <si>
    <t xml:space="preserve">клієнт (база) і активна будівля за місяць (usage)</t>
  </si>
  <si>
    <t xml:space="preserve">Альтернатива 1: фіксована підписка на клієнта</t>
  </si>
  <si>
    <t xml:space="preserve">клієнт (акаунт) без ліміту будівель у тарифі</t>
  </si>
  <si>
    <t xml:space="preserve">Альтернатива 2: частка підтвердженої економії (gain-sharing)</t>
  </si>
  <si>
    <t xml:space="preserve">EUR підтвердженої економії енергії за IPMVP</t>
  </si>
  <si>
    <t xml:space="preserve">Формула або підстава</t>
  </si>
  <si>
    <t xml:space="preserve">Basic</t>
  </si>
  <si>
    <t xml:space="preserve">Standard</t>
  </si>
  <si>
    <t xml:space="preserve">Pro</t>
  </si>
  <si>
    <t xml:space="preserve">Базовий платіж на клієнта, EUR/міс.</t>
  </si>
  <si>
    <t xml:space="preserve">вхід</t>
  </si>
  <si>
    <t xml:space="preserve">Ціна за активну будівлю, EUR/міс.</t>
  </si>
  <si>
    <t xml:space="preserve">Максимум будівель у тарифі</t>
  </si>
  <si>
    <t xml:space="preserve">Частка клієнтів (A1)</t>
  </si>
  <si>
    <t xml:space="preserve">Середнє usage, будівель на клієнта (A2)</t>
  </si>
  <si>
    <t xml:space="preserve">Год підтримки на клієнта (A4)</t>
  </si>
  <si>
    <t xml:space="preserve">COGS на клієнта (база), EUR</t>
  </si>
  <si>
    <t xml:space="preserve">год × 30</t>
  </si>
  <si>
    <t xml:space="preserve">Очікуваний рахунок клієнта, EUR/міс.</t>
  </si>
  <si>
    <t xml:space="preserve">база + ціна × usage</t>
  </si>
  <si>
    <t xml:space="preserve">Очікуваний COGS клієнта, EUR/міс.</t>
  </si>
  <si>
    <t xml:space="preserve">COGS бази + usage × 16</t>
  </si>
  <si>
    <t xml:space="preserve">Gross profit, EUR/міс.</t>
  </si>
  <si>
    <t xml:space="preserve">рахунок мінус COGS</t>
  </si>
  <si>
    <t xml:space="preserve">Gross margin</t>
  </si>
  <si>
    <t xml:space="preserve">(Revenue − COGS) / Revenue</t>
  </si>
  <si>
    <t xml:space="preserve">Floor price пакета, EUR/міс.</t>
  </si>
  <si>
    <t xml:space="preserve">COGS / (1 − 0,70)</t>
  </si>
  <si>
    <t xml:space="preserve">Ціна не нижча за floor</t>
  </si>
  <si>
    <t xml:space="preserve">порівняння</t>
  </si>
  <si>
    <t xml:space="preserve">Markup на COGS</t>
  </si>
  <si>
    <t xml:space="preserve">(ціна − COGS) / COGS</t>
  </si>
  <si>
    <t xml:space="preserve">Ціна на будівлю, EUR</t>
  </si>
  <si>
    <t xml:space="preserve">рахунок / usage</t>
  </si>
  <si>
    <t xml:space="preserve">Частка цінності 900 EUR</t>
  </si>
  <si>
    <t xml:space="preserve">ціна будівлі / цінність</t>
  </si>
  <si>
    <t xml:space="preserve">Ціна будівлі не нижча за floor одиниці</t>
  </si>
  <si>
    <t xml:space="preserve">ціна будівлі ≥ 53,33</t>
  </si>
  <si>
    <t xml:space="preserve">Частка COGS бази в COGS клієнта</t>
  </si>
  <si>
    <t xml:space="preserve">COGS бази / COGS клієнта</t>
  </si>
  <si>
    <t xml:space="preserve">Очікуваний COGS будівлі з A3, EUR</t>
  </si>
  <si>
    <t xml:space="preserve">0,9 × 16 + 0,1 × 30,88</t>
  </si>
  <si>
    <t xml:space="preserve">Очікуваний COGS клієнта з A3, EUR/міс.</t>
  </si>
  <si>
    <t xml:space="preserve">COGS бази + usage × 17,49</t>
  </si>
  <si>
    <t xml:space="preserve">Очікуваний overage з A3, EUR/міс.</t>
  </si>
  <si>
    <t xml:space="preserve">usage × 0,10 × 55</t>
  </si>
  <si>
    <t xml:space="preserve">Очікуваний рахунок з A3, EUR/міс.</t>
  </si>
  <si>
    <t xml:space="preserve">рахунок + overage</t>
  </si>
  <si>
    <t xml:space="preserve">Gross margin з A3</t>
  </si>
  <si>
    <t xml:space="preserve">Перевірка формули floor</t>
  </si>
  <si>
    <t xml:space="preserve">Значення, EUR</t>
  </si>
  <si>
    <t xml:space="preserve">GM</t>
  </si>
  <si>
    <t xml:space="preserve">Правильно: COGS / (1 − GM)</t>
  </si>
  <si>
    <t xml:space="preserve">Помилково: COGS × (1 + GM)</t>
  </si>
  <si>
    <t xml:space="preserve">Зважена за A1 gross margin</t>
  </si>
  <si>
    <t xml:space="preserve">Типова будівля, без A3</t>
  </si>
  <si>
    <t xml:space="preserve">З урахуванням A3, дорівнює GM сценаріїв</t>
  </si>
  <si>
    <t xml:space="preserve">Формула</t>
  </si>
  <si>
    <t xml:space="preserve">Будівель у клієнта з high usage</t>
  </si>
  <si>
    <t xml:space="preserve">максимум тарифу</t>
  </si>
  <si>
    <t xml:space="preserve">Рахунок без захисного правила, EUR</t>
  </si>
  <si>
    <t xml:space="preserve">база + ціна × n</t>
  </si>
  <si>
    <t xml:space="preserve">COGS, EUR</t>
  </si>
  <si>
    <t xml:space="preserve">COGS бази + n × COGS high</t>
  </si>
  <si>
    <t xml:space="preserve">Gross margin без правила</t>
  </si>
  <si>
    <t xml:space="preserve">Overage за правилом, EUR</t>
  </si>
  <si>
    <t xml:space="preserve">n × (доплата + SMS)</t>
  </si>
  <si>
    <t xml:space="preserve">Рахунок з правилом, EUR</t>
  </si>
  <si>
    <t xml:space="preserve">Gross margin з правилом</t>
  </si>
  <si>
    <t xml:space="preserve">Межа 70% виконана без правила</t>
  </si>
  <si>
    <t xml:space="preserve">Межа 70% виконана з правилом</t>
  </si>
  <si>
    <t xml:space="preserve">Неоплачених місяців з 12 (A9)</t>
  </si>
  <si>
    <t xml:space="preserve">Overage, базовий сценарій, EUR</t>
  </si>
  <si>
    <t xml:space="preserve">overage − буд. high × 50 × m / 12</t>
  </si>
  <si>
    <t xml:space="preserve">Revenue, базовий сценарій, EUR</t>
  </si>
  <si>
    <t xml:space="preserve">Revenue − та сама втрата</t>
  </si>
  <si>
    <t xml:space="preserve">Gross margin, базовий сценарій</t>
  </si>
  <si>
    <t xml:space="preserve">GM Pro, 20 буд., неоплачений місяць</t>
  </si>
  <si>
    <t xml:space="preserve">рахунок без доплати</t>
  </si>
  <si>
    <t xml:space="preserve">GM Pro, 20 буд., за 12 місяців</t>
  </si>
  <si>
    <t xml:space="preserve">зважено за місяцями</t>
  </si>
  <si>
    <t xml:space="preserve">Показник за місяць, EUR</t>
  </si>
  <si>
    <t xml:space="preserve">Низький 70%</t>
  </si>
  <si>
    <t xml:space="preserve">Базовий 100%</t>
  </si>
  <si>
    <t xml:space="preserve">Високий 140%</t>
  </si>
  <si>
    <t xml:space="preserve">Коефіцієнт масштабу</t>
  </si>
  <si>
    <t xml:space="preserve">Платні будівлі (billable units)</t>
  </si>
  <si>
    <t xml:space="preserve">Середнє usage, будівель на клієнта</t>
  </si>
  <si>
    <t xml:space="preserve">Платні клієнти</t>
  </si>
  <si>
    <t xml:space="preserve">Клієнти Basic</t>
  </si>
  <si>
    <t xml:space="preserve">Клієнти Standard</t>
  </si>
  <si>
    <t xml:space="preserve">Клієнти Pro</t>
  </si>
  <si>
    <t xml:space="preserve">Revenue: базові платежі</t>
  </si>
  <si>
    <t xml:space="preserve">Revenue: будівлі (usage)</t>
  </si>
  <si>
    <t xml:space="preserve">Будівлі з high usage</t>
  </si>
  <si>
    <t xml:space="preserve">Revenue: overage</t>
  </si>
  <si>
    <t xml:space="preserve">Revenue</t>
  </si>
  <si>
    <t xml:space="preserve">COGS: база клієнтів</t>
  </si>
  <si>
    <t xml:space="preserve">COGS: будівлі</t>
  </si>
  <si>
    <t xml:space="preserve">COGS</t>
  </si>
  <si>
    <t xml:space="preserve">Gross profit</t>
  </si>
  <si>
    <t xml:space="preserve">ARPA, EUR на клієнта</t>
  </si>
  <si>
    <t xml:space="preserve">Revenue на будівлю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</si>
</sst>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0"/>
    <numFmt numFmtId="167" formatCode="0.0"/>
    <numFmt numFmtId="168" formatCode="#,##0.00"/>
    <numFmt numFmtId="169" formatCode="0"/>
    <numFmt numFmtId="170" formatCode="0.0%"/>
    <numFmt numFmtId="171" formatCode="0.00%"/>
    <numFmt numFmtId="172" formatCode="0%"/>
    <numFmt numFmtId="173" formatCode="#,##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E8F7"/>
        <bgColor rgb="FFD9D9D9"/>
      </patternFill>
    </fill>
    <fill>
      <patternFill patternType="solid">
        <fgColor rgb="FFFFF4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A9890"/>
      </left>
      <right style="thin">
        <color rgb="FF9A9890"/>
      </right>
      <top style="thin">
        <color rgb="FF9A9890"/>
      </top>
      <bottom style="thin">
        <color rgb="FF9A989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8" fontId="5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9" fontId="5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0" fontId="5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0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1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9" fontId="4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2" fontId="5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3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4D6"/>
      <rgbColor rgb="FFDCE8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EB6834"/>
      <rgbColor rgb="FF666699"/>
      <rgbColor rgb="FF9A9890"/>
      <rgbColor rgb="FF003366"/>
      <rgbColor rgb="FF1BAF7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Revenue, COGS і gross profit за місяць, EUR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Сценарії!A13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a78d6"/>
            </a:solidFill>
            <a:ln w="12600">
              <a:solidFill>
                <a:srgbClr val="2a78d6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2a78d6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Сценарії!$B$1:$D$1</c:f>
              <c:strCache>
                <c:ptCount val="3"/>
                <c:pt idx="0">
                  <c:v>Низький 70%</c:v>
                </c:pt>
                <c:pt idx="1">
                  <c:v>Базовий 100%</c:v>
                </c:pt>
                <c:pt idx="2">
                  <c:v>Високий 140%</c:v>
                </c:pt>
              </c:strCache>
            </c:strRef>
          </c:cat>
          <c:val>
            <c:numRef>
              <c:f>Сценарії!$B$13:$D$13</c:f>
              <c:numCache>
                <c:formatCode>#,##0.00</c:formatCode>
                <c:ptCount val="3"/>
                <c:pt idx="0">
                  <c:v>8097.25</c:v>
                </c:pt>
                <c:pt idx="1">
                  <c:v>11567.5</c:v>
                </c:pt>
                <c:pt idx="2">
                  <c:v>16194.5</c:v>
                </c:pt>
              </c:numCache>
            </c:numRef>
          </c:val>
        </c:ser>
        <c:ser>
          <c:idx val="1"/>
          <c:order val="1"/>
          <c:tx>
            <c:strRef>
              <c:f>Сценарії!A16</c:f>
              <c:strCache>
                <c:ptCount val="1"/>
                <c:pt idx="0">
                  <c:v>COGS</c:v>
                </c:pt>
              </c:strCache>
            </c:strRef>
          </c:tx>
          <c:spPr>
            <a:solidFill>
              <a:srgbClr val="eb6834"/>
            </a:solidFill>
            <a:ln w="12600">
              <a:solidFill>
                <a:srgbClr val="eb6834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eb6834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Сценарії!$B$1:$D$1</c:f>
              <c:strCache>
                <c:ptCount val="3"/>
                <c:pt idx="0">
                  <c:v>Низький 70%</c:v>
                </c:pt>
                <c:pt idx="1">
                  <c:v>Базовий 100%</c:v>
                </c:pt>
                <c:pt idx="2">
                  <c:v>Високий 140%</c:v>
                </c:pt>
              </c:strCache>
            </c:strRef>
          </c:cat>
          <c:val>
            <c:numRef>
              <c:f>Сценарії!$B$16:$D$16</c:f>
              <c:numCache>
                <c:formatCode>#,##0.00</c:formatCode>
                <c:ptCount val="3"/>
                <c:pt idx="0">
                  <c:v>1219.036</c:v>
                </c:pt>
                <c:pt idx="1">
                  <c:v>1741.48</c:v>
                </c:pt>
                <c:pt idx="2">
                  <c:v>2438.072</c:v>
                </c:pt>
              </c:numCache>
            </c:numRef>
          </c:val>
        </c:ser>
        <c:ser>
          <c:idx val="2"/>
          <c:order val="2"/>
          <c:tx>
            <c:strRef>
              <c:f>Сценарії!A17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rgbClr val="1baf7a"/>
            </a:solidFill>
            <a:ln w="12600">
              <a:solidFill>
                <a:srgbClr val="1baf7a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1baf7a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Сценарії!$B$1:$D$1</c:f>
              <c:strCache>
                <c:ptCount val="3"/>
                <c:pt idx="0">
                  <c:v>Низький 70%</c:v>
                </c:pt>
                <c:pt idx="1">
                  <c:v>Базовий 100%</c:v>
                </c:pt>
                <c:pt idx="2">
                  <c:v>Високий 140%</c:v>
                </c:pt>
              </c:strCache>
            </c:strRef>
          </c:cat>
          <c:val>
            <c:numRef>
              <c:f>Сценарії!$B$17:$D$17</c:f>
              <c:numCache>
                <c:formatCode>#,##0.00</c:formatCode>
                <c:ptCount val="3"/>
                <c:pt idx="0">
                  <c:v>6878.214</c:v>
                </c:pt>
                <c:pt idx="1">
                  <c:v>9826.02</c:v>
                </c:pt>
                <c:pt idx="2">
                  <c:v>13756.428</c:v>
                </c:pt>
              </c:numCache>
            </c:numRef>
          </c:val>
        </c:ser>
        <c:gapWidth val="150"/>
        <c:overlap val="0"/>
        <c:axId val="9209015"/>
        <c:axId val="6385966"/>
      </c:barChart>
      <c:catAx>
        <c:axId val="9209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385966"/>
        <c:crosses val="autoZero"/>
        <c:auto val="1"/>
        <c:lblAlgn val="ctr"/>
        <c:lblOffset val="100"/>
        <c:noMultiLvlLbl val="0"/>
      </c:catAx>
      <c:valAx>
        <c:axId val="63859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EUR за місяць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0901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4</xdr:col>
      <xdr:colOff>269280</xdr:colOff>
      <xdr:row>37</xdr:row>
      <xdr:rowOff>11880</xdr:rowOff>
    </xdr:to>
    <xdr:graphicFrame>
      <xdr:nvGraphicFramePr>
        <xdr:cNvPr id="1" name="Chart 1"/>
        <xdr:cNvGraphicFramePr/>
      </xdr:nvGraphicFramePr>
      <xdr:xfrm>
        <a:off x="0" y="40006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6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3" t="n">
        <v>16</v>
      </c>
      <c r="D2" s="2" t="s">
        <v>8</v>
      </c>
      <c r="E2" s="2" t="s">
        <v>9</v>
      </c>
      <c r="F2" s="2" t="s">
        <v>10</v>
      </c>
    </row>
    <row r="3" customFormat="false" ht="15" hidden="false" customHeight="false" outlineLevel="0" collapsed="false">
      <c r="A3" s="2" t="s">
        <v>11</v>
      </c>
      <c r="B3" s="2" t="s">
        <v>12</v>
      </c>
      <c r="C3" s="4" t="n">
        <v>0.7</v>
      </c>
      <c r="D3" s="2" t="s">
        <v>13</v>
      </c>
      <c r="E3" s="2" t="s">
        <v>9</v>
      </c>
      <c r="F3" s="2" t="s">
        <v>14</v>
      </c>
    </row>
    <row r="4" customFormat="false" ht="15" hidden="false" customHeight="false" outlineLevel="0" collapsed="false">
      <c r="A4" s="2" t="s">
        <v>15</v>
      </c>
      <c r="B4" s="2" t="s">
        <v>16</v>
      </c>
      <c r="C4" s="3" t="n">
        <v>85</v>
      </c>
      <c r="D4" s="2" t="s">
        <v>17</v>
      </c>
      <c r="E4" s="2" t="s">
        <v>9</v>
      </c>
      <c r="F4" s="2" t="s">
        <v>14</v>
      </c>
    </row>
    <row r="5" customFormat="false" ht="15" hidden="false" customHeight="false" outlineLevel="0" collapsed="false">
      <c r="A5" s="2" t="s">
        <v>18</v>
      </c>
      <c r="B5" s="2" t="s">
        <v>19</v>
      </c>
      <c r="C5" s="4" t="n">
        <v>6.48</v>
      </c>
      <c r="D5" s="2" t="s">
        <v>20</v>
      </c>
      <c r="E5" s="2" t="s">
        <v>9</v>
      </c>
      <c r="F5" s="2" t="s">
        <v>21</v>
      </c>
    </row>
    <row r="6" customFormat="false" ht="15" hidden="false" customHeight="false" outlineLevel="0" collapsed="false">
      <c r="A6" s="2" t="s">
        <v>22</v>
      </c>
      <c r="B6" s="2" t="s">
        <v>23</v>
      </c>
      <c r="C6" s="3" t="n">
        <v>4</v>
      </c>
      <c r="D6" s="2" t="s">
        <v>20</v>
      </c>
      <c r="E6" s="2" t="s">
        <v>9</v>
      </c>
      <c r="F6" s="2" t="s">
        <v>24</v>
      </c>
    </row>
    <row r="7" customFormat="false" ht="15" hidden="false" customHeight="false" outlineLevel="0" collapsed="false">
      <c r="A7" s="2" t="s">
        <v>25</v>
      </c>
      <c r="B7" s="2" t="s">
        <v>26</v>
      </c>
      <c r="C7" s="4" t="n">
        <v>0.06</v>
      </c>
      <c r="D7" s="2" t="s">
        <v>27</v>
      </c>
      <c r="E7" s="2" t="s">
        <v>9</v>
      </c>
      <c r="F7" s="2" t="s">
        <v>24</v>
      </c>
    </row>
    <row r="8" customFormat="false" ht="15" hidden="false" customHeight="false" outlineLevel="0" collapsed="false">
      <c r="A8" s="2" t="s">
        <v>28</v>
      </c>
      <c r="B8" s="2" t="s">
        <v>29</v>
      </c>
      <c r="C8" s="3" t="n">
        <v>12</v>
      </c>
      <c r="D8" s="2" t="s">
        <v>30</v>
      </c>
      <c r="E8" s="2" t="s">
        <v>9</v>
      </c>
      <c r="F8" s="2" t="s">
        <v>24</v>
      </c>
    </row>
    <row r="9" customFormat="false" ht="15" hidden="false" customHeight="false" outlineLevel="0" collapsed="false">
      <c r="A9" s="2" t="s">
        <v>31</v>
      </c>
      <c r="B9" s="2" t="s">
        <v>32</v>
      </c>
      <c r="C9" s="4" t="n">
        <v>0.16</v>
      </c>
      <c r="D9" s="2" t="s">
        <v>33</v>
      </c>
      <c r="E9" s="2" t="s">
        <v>9</v>
      </c>
      <c r="F9" s="2" t="s">
        <v>24</v>
      </c>
    </row>
    <row r="10" customFormat="false" ht="15" hidden="false" customHeight="false" outlineLevel="0" collapsed="false">
      <c r="A10" s="2" t="s">
        <v>34</v>
      </c>
      <c r="B10" s="2" t="s">
        <v>35</v>
      </c>
      <c r="C10" s="3" t="n">
        <v>30</v>
      </c>
      <c r="D10" s="2" t="s">
        <v>36</v>
      </c>
      <c r="E10" s="2" t="s">
        <v>9</v>
      </c>
      <c r="F10" s="2" t="s">
        <v>24</v>
      </c>
    </row>
    <row r="11" customFormat="false" ht="15" hidden="false" customHeight="false" outlineLevel="0" collapsed="false">
      <c r="A11" s="2" t="s">
        <v>37</v>
      </c>
      <c r="B11" s="2" t="s">
        <v>38</v>
      </c>
      <c r="C11" s="3" t="n">
        <v>20</v>
      </c>
      <c r="D11" s="2" t="s">
        <v>30</v>
      </c>
      <c r="E11" s="2" t="s">
        <v>39</v>
      </c>
      <c r="F11" s="2" t="s">
        <v>40</v>
      </c>
    </row>
    <row r="12" customFormat="false" ht="15" hidden="false" customHeight="false" outlineLevel="0" collapsed="false">
      <c r="A12" s="2" t="s">
        <v>41</v>
      </c>
      <c r="B12" s="2" t="s">
        <v>42</v>
      </c>
      <c r="C12" s="4" t="n">
        <v>0.25</v>
      </c>
      <c r="D12" s="2" t="s">
        <v>27</v>
      </c>
      <c r="E12" s="2" t="s">
        <v>39</v>
      </c>
      <c r="F12" s="2" t="s">
        <v>43</v>
      </c>
    </row>
    <row r="13" customFormat="false" ht="15" hidden="false" customHeight="false" outlineLevel="0" collapsed="false">
      <c r="A13" s="2" t="s">
        <v>44</v>
      </c>
      <c r="B13" s="2" t="s">
        <v>45</v>
      </c>
      <c r="C13" s="3" t="n">
        <v>40</v>
      </c>
      <c r="D13" s="2" t="s">
        <v>30</v>
      </c>
      <c r="E13" s="2" t="s">
        <v>39</v>
      </c>
      <c r="F13" s="2" t="s">
        <v>46</v>
      </c>
    </row>
    <row r="14" customFormat="false" ht="15" hidden="false" customHeight="false" outlineLevel="0" collapsed="false">
      <c r="A14" s="2" t="s">
        <v>47</v>
      </c>
      <c r="B14" s="2" t="s">
        <v>48</v>
      </c>
      <c r="C14" s="4" t="n">
        <v>0.6</v>
      </c>
      <c r="D14" s="2" t="s">
        <v>33</v>
      </c>
      <c r="E14" s="2" t="s">
        <v>39</v>
      </c>
      <c r="F14" s="2" t="s">
        <v>49</v>
      </c>
    </row>
    <row r="15" customFormat="false" ht="15" hidden="false" customHeight="false" outlineLevel="0" collapsed="false">
      <c r="A15" s="2" t="s">
        <v>50</v>
      </c>
      <c r="B15" s="2" t="s">
        <v>51</v>
      </c>
      <c r="C15" s="3" t="n">
        <v>50</v>
      </c>
      <c r="D15" s="2" t="s">
        <v>20</v>
      </c>
      <c r="E15" s="2" t="s">
        <v>39</v>
      </c>
      <c r="F15" s="2" t="s">
        <v>52</v>
      </c>
    </row>
    <row r="16" customFormat="false" ht="15" hidden="false" customHeight="false" outlineLevel="0" collapsed="false">
      <c r="A16" s="2" t="s">
        <v>53</v>
      </c>
      <c r="B16" s="2" t="s">
        <v>54</v>
      </c>
      <c r="C16" s="4" t="n">
        <v>0.1</v>
      </c>
      <c r="D16" s="2" t="s">
        <v>13</v>
      </c>
      <c r="E16" s="2" t="s">
        <v>39</v>
      </c>
      <c r="F16" s="2" t="s">
        <v>46</v>
      </c>
    </row>
    <row r="17" customFormat="false" ht="15" hidden="false" customHeight="false" outlineLevel="0" collapsed="false">
      <c r="A17" s="2" t="s">
        <v>55</v>
      </c>
      <c r="B17" s="2" t="s">
        <v>56</v>
      </c>
      <c r="C17" s="3" t="n">
        <v>900</v>
      </c>
      <c r="D17" s="2" t="s">
        <v>8</v>
      </c>
      <c r="E17" s="2" t="s">
        <v>9</v>
      </c>
      <c r="F17" s="2" t="s">
        <v>24</v>
      </c>
    </row>
    <row r="18" customFormat="false" ht="15" hidden="false" customHeight="false" outlineLevel="0" collapsed="false">
      <c r="A18" s="2" t="s">
        <v>57</v>
      </c>
      <c r="B18" s="2" t="s">
        <v>58</v>
      </c>
      <c r="C18" s="3" t="n">
        <v>792</v>
      </c>
      <c r="D18" s="2" t="s">
        <v>8</v>
      </c>
      <c r="E18" s="2" t="s">
        <v>9</v>
      </c>
      <c r="F18" s="2" t="s">
        <v>24</v>
      </c>
    </row>
    <row r="19" customFormat="false" ht="15" hidden="false" customHeight="false" outlineLevel="0" collapsed="false">
      <c r="A19" s="2" t="s">
        <v>59</v>
      </c>
      <c r="B19" s="2" t="s">
        <v>60</v>
      </c>
      <c r="C19" s="4" t="n">
        <v>0.2</v>
      </c>
      <c r="D19" s="2" t="s">
        <v>13</v>
      </c>
      <c r="E19" s="2" t="s">
        <v>39</v>
      </c>
      <c r="F19" s="2" t="s">
        <v>61</v>
      </c>
    </row>
    <row r="20" customFormat="false" ht="15" hidden="false" customHeight="false" outlineLevel="0" collapsed="false">
      <c r="A20" s="2" t="s">
        <v>62</v>
      </c>
      <c r="B20" s="2" t="s">
        <v>63</v>
      </c>
      <c r="C20" s="3" t="n">
        <v>12</v>
      </c>
      <c r="D20" s="2" t="s">
        <v>64</v>
      </c>
      <c r="E20" s="2" t="s">
        <v>39</v>
      </c>
      <c r="F20" s="2" t="s">
        <v>65</v>
      </c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</row>
    <row r="22" customFormat="false" ht="15" hidden="false" customHeight="false" outlineLevel="0" collapsed="false">
      <c r="A22" s="2" t="s">
        <v>66</v>
      </c>
      <c r="B22" s="2" t="s">
        <v>67</v>
      </c>
      <c r="C22" s="5" t="n">
        <f aca="false">x4_readings+x4_sim+x4_sms_cost*x4_sms_typ+x4_sup_h*x4_sup_rate</f>
        <v>16</v>
      </c>
      <c r="D22" s="2" t="s">
        <v>20</v>
      </c>
      <c r="E22" s="2" t="s">
        <v>68</v>
      </c>
      <c r="F22" s="6" t="str">
        <f aca="false">IF(ABS(C22-x4_cogs_var)&lt;0.001,"збігається з варіантом","розбіжність")</f>
        <v>збігається з варіантом</v>
      </c>
    </row>
    <row r="23" customFormat="false" ht="15" hidden="false" customHeight="false" outlineLevel="0" collapsed="false">
      <c r="A23" s="2" t="s">
        <v>69</v>
      </c>
      <c r="B23" s="2" t="s">
        <v>70</v>
      </c>
      <c r="C23" s="5" t="n">
        <f aca="false">x4_cogs+(x4_sms_high-x4_sms_typ)*x4_sms_cost+(x4_sup_high-x4_sup_h)*x4_sup_rate</f>
        <v>30.88</v>
      </c>
      <c r="D23" s="2" t="s">
        <v>20</v>
      </c>
      <c r="E23" s="2" t="s">
        <v>68</v>
      </c>
      <c r="F23" s="2" t="s">
        <v>46</v>
      </c>
    </row>
    <row r="24" customFormat="false" ht="15" hidden="false" customHeight="false" outlineLevel="0" collapsed="false">
      <c r="A24" s="2" t="s">
        <v>71</v>
      </c>
      <c r="B24" s="2" t="s">
        <v>72</v>
      </c>
      <c r="C24" s="5" t="n">
        <f aca="false">x4_fee+MAX(x4_sms_high-x4_sms_incl,0)*x4_sms_price</f>
        <v>55</v>
      </c>
      <c r="D24" s="2" t="s">
        <v>20</v>
      </c>
      <c r="E24" s="2" t="s">
        <v>68</v>
      </c>
      <c r="F24" s="2" t="s">
        <v>73</v>
      </c>
    </row>
    <row r="25" customFormat="false" ht="15" hidden="false" customHeight="false" outlineLevel="0" collapsed="false">
      <c r="A25" s="2" t="s">
        <v>74</v>
      </c>
      <c r="B25" s="2" t="s">
        <v>75</v>
      </c>
      <c r="C25" s="5" t="n">
        <f aca="false">x4_cogs_var/(1-x4_gm)</f>
        <v>53.3333333333333</v>
      </c>
      <c r="D25" s="2" t="s">
        <v>20</v>
      </c>
      <c r="E25" s="2" t="s">
        <v>68</v>
      </c>
      <c r="F25" s="2" t="s">
        <v>76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50"/>
    <col collapsed="false" customWidth="true" hidden="false" outlineLevel="0" max="4" min="4" style="0" width="44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1" t="s">
        <v>77</v>
      </c>
      <c r="B1" s="1" t="s">
        <v>78</v>
      </c>
      <c r="C1" s="1" t="s">
        <v>2</v>
      </c>
      <c r="D1" s="1" t="s">
        <v>79</v>
      </c>
      <c r="E1" s="1" t="s">
        <v>80</v>
      </c>
    </row>
    <row r="2" customFormat="false" ht="35.05" hidden="false" customHeight="false" outlineLevel="0" collapsed="false">
      <c r="A2" s="2" t="s">
        <v>81</v>
      </c>
      <c r="B2" s="2" t="s">
        <v>82</v>
      </c>
      <c r="C2" s="2" t="s">
        <v>83</v>
      </c>
      <c r="D2" s="2" t="s">
        <v>84</v>
      </c>
      <c r="E2" s="2" t="s">
        <v>85</v>
      </c>
    </row>
    <row r="3" customFormat="false" ht="35.05" hidden="false" customHeight="false" outlineLevel="0" collapsed="false">
      <c r="A3" s="2" t="s">
        <v>86</v>
      </c>
      <c r="B3" s="2" t="s">
        <v>87</v>
      </c>
      <c r="C3" s="2" t="s">
        <v>88</v>
      </c>
      <c r="D3" s="2" t="s">
        <v>89</v>
      </c>
      <c r="E3" s="2" t="s">
        <v>90</v>
      </c>
    </row>
    <row r="4" customFormat="false" ht="23.85" hidden="false" customHeight="false" outlineLevel="0" collapsed="false">
      <c r="A4" s="2" t="s">
        <v>46</v>
      </c>
      <c r="B4" s="2" t="s">
        <v>91</v>
      </c>
      <c r="C4" s="2" t="s">
        <v>92</v>
      </c>
      <c r="D4" s="2" t="s">
        <v>93</v>
      </c>
      <c r="E4" s="2" t="s">
        <v>94</v>
      </c>
    </row>
    <row r="5" customFormat="false" ht="23.85" hidden="false" customHeight="false" outlineLevel="0" collapsed="false">
      <c r="A5" s="2" t="s">
        <v>95</v>
      </c>
      <c r="B5" s="2" t="s">
        <v>96</v>
      </c>
      <c r="C5" s="2" t="s">
        <v>97</v>
      </c>
      <c r="D5" s="2" t="s">
        <v>98</v>
      </c>
      <c r="E5" s="2" t="s">
        <v>99</v>
      </c>
    </row>
    <row r="6" customFormat="false" ht="23.85" hidden="false" customHeight="false" outlineLevel="0" collapsed="false">
      <c r="A6" s="2" t="s">
        <v>100</v>
      </c>
      <c r="B6" s="2" t="s">
        <v>101</v>
      </c>
      <c r="C6" s="2" t="s">
        <v>102</v>
      </c>
      <c r="D6" s="2" t="s">
        <v>103</v>
      </c>
      <c r="E6" s="2" t="s">
        <v>104</v>
      </c>
    </row>
    <row r="7" customFormat="false" ht="23.85" hidden="false" customHeight="false" outlineLevel="0" collapsed="false">
      <c r="A7" s="2" t="s">
        <v>105</v>
      </c>
      <c r="B7" s="2" t="s">
        <v>106</v>
      </c>
      <c r="C7" s="2" t="s">
        <v>107</v>
      </c>
      <c r="D7" s="2" t="s">
        <v>108</v>
      </c>
      <c r="E7" s="2" t="s">
        <v>109</v>
      </c>
    </row>
    <row r="8" customFormat="false" ht="15" hidden="false" customHeight="false" outlineLevel="0" collapsed="false">
      <c r="A8" s="2" t="s">
        <v>110</v>
      </c>
      <c r="B8" s="2" t="s">
        <v>111</v>
      </c>
      <c r="C8" s="2" t="s">
        <v>112</v>
      </c>
      <c r="D8" s="2" t="s">
        <v>113</v>
      </c>
      <c r="E8" s="2" t="s">
        <v>114</v>
      </c>
    </row>
    <row r="9" customFormat="false" ht="23.85" hidden="false" customHeight="false" outlineLevel="0" collapsed="false">
      <c r="A9" s="2" t="s">
        <v>115</v>
      </c>
      <c r="B9" s="2" t="s">
        <v>116</v>
      </c>
      <c r="C9" s="2" t="s">
        <v>117</v>
      </c>
      <c r="D9" s="2" t="s">
        <v>118</v>
      </c>
      <c r="E9" s="2" t="s">
        <v>119</v>
      </c>
    </row>
    <row r="10" customFormat="false" ht="35.05" hidden="false" customHeight="false" outlineLevel="0" collapsed="false">
      <c r="A10" s="2" t="s">
        <v>65</v>
      </c>
      <c r="B10" s="2" t="s">
        <v>120</v>
      </c>
      <c r="C10" s="2" t="s">
        <v>121</v>
      </c>
      <c r="D10" s="2" t="s">
        <v>122</v>
      </c>
      <c r="E10" s="2" t="s">
        <v>123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7"/>
  </cols>
  <sheetData>
    <row r="1" customFormat="false" ht="35.05" hidden="false" customHeight="false" outlineLevel="0" collapsed="false">
      <c r="A1" s="1" t="s">
        <v>124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</row>
    <row r="2" customFormat="false" ht="23.85" hidden="false" customHeight="false" outlineLevel="0" collapsed="false">
      <c r="A2" s="2" t="s">
        <v>133</v>
      </c>
      <c r="B2" s="2" t="s">
        <v>134</v>
      </c>
      <c r="C2" s="7" t="n">
        <v>4</v>
      </c>
      <c r="D2" s="7" t="n">
        <v>4</v>
      </c>
      <c r="E2" s="7" t="n">
        <v>3</v>
      </c>
      <c r="F2" s="7" t="n">
        <v>4</v>
      </c>
      <c r="G2" s="7" t="n">
        <v>5</v>
      </c>
      <c r="H2" s="8" t="n">
        <f aca="false">AVERAGE(C2:G2)</f>
        <v>4</v>
      </c>
      <c r="I2" s="9" t="n">
        <f aca="false">RANK(H2,$H$2:$H$4)</f>
        <v>1</v>
      </c>
    </row>
    <row r="3" customFormat="false" ht="23.85" hidden="false" customHeight="false" outlineLevel="0" collapsed="false">
      <c r="A3" s="2" t="s">
        <v>135</v>
      </c>
      <c r="B3" s="2" t="s">
        <v>136</v>
      </c>
      <c r="C3" s="7" t="n">
        <v>5</v>
      </c>
      <c r="D3" s="7" t="n">
        <v>2</v>
      </c>
      <c r="E3" s="7" t="n">
        <v>5</v>
      </c>
      <c r="F3" s="7" t="n">
        <v>2</v>
      </c>
      <c r="G3" s="7" t="n">
        <v>5</v>
      </c>
      <c r="H3" s="8" t="n">
        <f aca="false">AVERAGE(C3:G3)</f>
        <v>3.8</v>
      </c>
      <c r="I3" s="9" t="n">
        <f aca="false">RANK(H3,$H$2:$H$4)</f>
        <v>2</v>
      </c>
    </row>
    <row r="4" customFormat="false" ht="23.85" hidden="false" customHeight="false" outlineLevel="0" collapsed="false">
      <c r="A4" s="2" t="s">
        <v>137</v>
      </c>
      <c r="B4" s="2" t="s">
        <v>138</v>
      </c>
      <c r="C4" s="7" t="n">
        <v>1</v>
      </c>
      <c r="D4" s="7" t="n">
        <v>2</v>
      </c>
      <c r="E4" s="7" t="n">
        <v>2</v>
      </c>
      <c r="F4" s="7" t="n">
        <v>5</v>
      </c>
      <c r="G4" s="7" t="n">
        <v>1</v>
      </c>
      <c r="H4" s="8" t="n">
        <f aca="false">AVERAGE(C4:G4)</f>
        <v>2.2</v>
      </c>
      <c r="I4" s="9" t="n">
        <f aca="false">RANK(H4,$H$2:$H$4)</f>
        <v>3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5"/>
    <col collapsed="false" customWidth="true" hidden="false" outlineLevel="0" max="5" min="3" style="0" width="13"/>
  </cols>
  <sheetData>
    <row r="1" customFormat="false" ht="15" hidden="false" customHeight="false" outlineLevel="0" collapsed="false">
      <c r="A1" s="1" t="s">
        <v>1</v>
      </c>
      <c r="B1" s="1" t="s">
        <v>139</v>
      </c>
      <c r="C1" s="1" t="s">
        <v>140</v>
      </c>
      <c r="D1" s="1" t="s">
        <v>141</v>
      </c>
      <c r="E1" s="1" t="s">
        <v>142</v>
      </c>
    </row>
    <row r="2" customFormat="false" ht="15" hidden="false" customHeight="false" outlineLevel="0" collapsed="false">
      <c r="A2" s="2" t="s">
        <v>143</v>
      </c>
      <c r="B2" s="2" t="s">
        <v>144</v>
      </c>
      <c r="C2" s="10" t="n">
        <v>25</v>
      </c>
      <c r="D2" s="10" t="n">
        <v>50</v>
      </c>
      <c r="E2" s="10" t="n">
        <v>150</v>
      </c>
    </row>
    <row r="3" customFormat="false" ht="15" hidden="false" customHeight="false" outlineLevel="0" collapsed="false">
      <c r="A3" s="2" t="s">
        <v>145</v>
      </c>
      <c r="B3" s="2" t="s">
        <v>144</v>
      </c>
      <c r="C3" s="10" t="n">
        <v>110</v>
      </c>
      <c r="D3" s="10" t="n">
        <v>110</v>
      </c>
      <c r="E3" s="10" t="n">
        <v>90</v>
      </c>
    </row>
    <row r="4" customFormat="false" ht="15" hidden="false" customHeight="false" outlineLevel="0" collapsed="false">
      <c r="A4" s="2" t="s">
        <v>146</v>
      </c>
      <c r="B4" s="2" t="s">
        <v>52</v>
      </c>
      <c r="C4" s="11" t="n">
        <v>2</v>
      </c>
      <c r="D4" s="11" t="n">
        <v>5</v>
      </c>
      <c r="E4" s="11" t="n">
        <v>20</v>
      </c>
    </row>
    <row r="5" customFormat="false" ht="15" hidden="false" customHeight="false" outlineLevel="0" collapsed="false">
      <c r="A5" s="2" t="s">
        <v>147</v>
      </c>
      <c r="B5" s="2" t="s">
        <v>81</v>
      </c>
      <c r="C5" s="12" t="n">
        <v>0.6</v>
      </c>
      <c r="D5" s="12" t="n">
        <v>0.3</v>
      </c>
      <c r="E5" s="12" t="n">
        <v>0.1</v>
      </c>
    </row>
    <row r="6" customFormat="false" ht="15" hidden="false" customHeight="false" outlineLevel="0" collapsed="false">
      <c r="A6" s="2" t="s">
        <v>148</v>
      </c>
      <c r="B6" s="2" t="s">
        <v>86</v>
      </c>
      <c r="C6" s="13" t="n">
        <v>1</v>
      </c>
      <c r="D6" s="13" t="n">
        <v>2</v>
      </c>
      <c r="E6" s="13" t="n">
        <v>5</v>
      </c>
    </row>
    <row r="7" customFormat="false" ht="15" hidden="false" customHeight="false" outlineLevel="0" collapsed="false">
      <c r="A7" s="2" t="s">
        <v>149</v>
      </c>
      <c r="B7" s="2" t="s">
        <v>95</v>
      </c>
      <c r="C7" s="4" t="n">
        <v>0.1</v>
      </c>
      <c r="D7" s="4" t="n">
        <v>0.2</v>
      </c>
      <c r="E7" s="4" t="n">
        <v>0.5</v>
      </c>
    </row>
    <row r="8" customFormat="false" ht="15" hidden="false" customHeight="false" outlineLevel="0" collapsed="false">
      <c r="A8" s="2" t="s">
        <v>150</v>
      </c>
      <c r="B8" s="2" t="s">
        <v>151</v>
      </c>
      <c r="C8" s="14" t="n">
        <f aca="false">C7*x4_sup_rate</f>
        <v>3</v>
      </c>
      <c r="D8" s="14" t="n">
        <f aca="false">D7*x4_sup_rate</f>
        <v>6</v>
      </c>
      <c r="E8" s="14" t="n">
        <f aca="false">E7*x4_sup_rate</f>
        <v>15</v>
      </c>
    </row>
    <row r="9" customFormat="false" ht="15" hidden="false" customHeight="false" outlineLevel="0" collapsed="false">
      <c r="A9" s="2" t="s">
        <v>152</v>
      </c>
      <c r="B9" s="2" t="s">
        <v>153</v>
      </c>
      <c r="C9" s="14" t="n">
        <f aca="false">C2+C3*C6</f>
        <v>135</v>
      </c>
      <c r="D9" s="14" t="n">
        <f aca="false">D2+D3*D6</f>
        <v>270</v>
      </c>
      <c r="E9" s="14" t="n">
        <f aca="false">E2+E3*E6</f>
        <v>600</v>
      </c>
    </row>
    <row r="10" customFormat="false" ht="15" hidden="false" customHeight="false" outlineLevel="0" collapsed="false">
      <c r="A10" s="2" t="s">
        <v>154</v>
      </c>
      <c r="B10" s="2" t="s">
        <v>155</v>
      </c>
      <c r="C10" s="14" t="n">
        <f aca="false">C8+C6*x4_cogs</f>
        <v>19</v>
      </c>
      <c r="D10" s="14" t="n">
        <f aca="false">D8+D6*x4_cogs</f>
        <v>38</v>
      </c>
      <c r="E10" s="14" t="n">
        <f aca="false">E8+E6*x4_cogs</f>
        <v>95</v>
      </c>
    </row>
    <row r="11" customFormat="false" ht="15" hidden="false" customHeight="false" outlineLevel="0" collapsed="false">
      <c r="A11" s="2" t="s">
        <v>156</v>
      </c>
      <c r="B11" s="2" t="s">
        <v>157</v>
      </c>
      <c r="C11" s="14" t="n">
        <f aca="false">C9-C10</f>
        <v>116</v>
      </c>
      <c r="D11" s="14" t="n">
        <f aca="false">D9-D10</f>
        <v>232</v>
      </c>
      <c r="E11" s="14" t="n">
        <f aca="false">E9-E10</f>
        <v>505</v>
      </c>
    </row>
    <row r="12" customFormat="false" ht="23.85" hidden="false" customHeight="false" outlineLevel="0" collapsed="false">
      <c r="A12" s="2" t="s">
        <v>158</v>
      </c>
      <c r="B12" s="2" t="s">
        <v>159</v>
      </c>
      <c r="C12" s="15" t="n">
        <f aca="false">(C9-C10)/C9</f>
        <v>0.859259259259259</v>
      </c>
      <c r="D12" s="15" t="n">
        <f aca="false">(D9-D10)/D9</f>
        <v>0.859259259259259</v>
      </c>
      <c r="E12" s="15" t="n">
        <f aca="false">(E9-E10)/E9</f>
        <v>0.841666666666667</v>
      </c>
    </row>
    <row r="13" customFormat="false" ht="15" hidden="false" customHeight="false" outlineLevel="0" collapsed="false">
      <c r="A13" s="2" t="s">
        <v>160</v>
      </c>
      <c r="B13" s="2" t="s">
        <v>161</v>
      </c>
      <c r="C13" s="14" t="n">
        <f aca="false">C10/(1-x4_gm)</f>
        <v>63.3333333333333</v>
      </c>
      <c r="D13" s="14" t="n">
        <f aca="false">D10/(1-x4_gm)</f>
        <v>126.666666666667</v>
      </c>
      <c r="E13" s="14" t="n">
        <f aca="false">E10/(1-x4_gm)</f>
        <v>316.666666666667</v>
      </c>
    </row>
    <row r="14" customFormat="false" ht="15" hidden="false" customHeight="false" outlineLevel="0" collapsed="false">
      <c r="A14" s="2" t="s">
        <v>162</v>
      </c>
      <c r="B14" s="2" t="s">
        <v>163</v>
      </c>
      <c r="C14" s="14" t="str">
        <f aca="false">IF(C9&gt;=C13,"так","ні")</f>
        <v>так</v>
      </c>
      <c r="D14" s="14" t="str">
        <f aca="false">IF(D9&gt;=D13,"так","ні")</f>
        <v>так</v>
      </c>
      <c r="E14" s="14" t="str">
        <f aca="false">IF(E9&gt;=E13,"так","ні")</f>
        <v>так</v>
      </c>
    </row>
    <row r="15" customFormat="false" ht="15" hidden="false" customHeight="false" outlineLevel="0" collapsed="false">
      <c r="A15" s="2" t="s">
        <v>164</v>
      </c>
      <c r="B15" s="2" t="s">
        <v>165</v>
      </c>
      <c r="C15" s="15" t="n">
        <f aca="false">(C9-C10)/C10</f>
        <v>6.10526315789474</v>
      </c>
      <c r="D15" s="15" t="n">
        <f aca="false">(D9-D10)/D10</f>
        <v>6.10526315789474</v>
      </c>
      <c r="E15" s="15" t="n">
        <f aca="false">(E9-E10)/E10</f>
        <v>5.31578947368421</v>
      </c>
    </row>
    <row r="16" customFormat="false" ht="15" hidden="false" customHeight="false" outlineLevel="0" collapsed="false">
      <c r="A16" s="2" t="s">
        <v>166</v>
      </c>
      <c r="B16" s="2" t="s">
        <v>167</v>
      </c>
      <c r="C16" s="14" t="n">
        <f aca="false">C9/C6</f>
        <v>135</v>
      </c>
      <c r="D16" s="14" t="n">
        <f aca="false">D9/D6</f>
        <v>135</v>
      </c>
      <c r="E16" s="14" t="n">
        <f aca="false">E9/E6</f>
        <v>120</v>
      </c>
    </row>
    <row r="17" customFormat="false" ht="15" hidden="false" customHeight="false" outlineLevel="0" collapsed="false">
      <c r="A17" s="2" t="s">
        <v>168</v>
      </c>
      <c r="B17" s="2" t="s">
        <v>169</v>
      </c>
      <c r="C17" s="15" t="n">
        <f aca="false">C16/x4_value</f>
        <v>0.15</v>
      </c>
      <c r="D17" s="15" t="n">
        <f aca="false">D16/x4_value</f>
        <v>0.15</v>
      </c>
      <c r="E17" s="15" t="n">
        <f aca="false">E16/x4_value</f>
        <v>0.133333333333333</v>
      </c>
    </row>
    <row r="18" customFormat="false" ht="15" hidden="false" customHeight="false" outlineLevel="0" collapsed="false">
      <c r="A18" s="2" t="s">
        <v>170</v>
      </c>
      <c r="B18" s="2" t="s">
        <v>171</v>
      </c>
      <c r="C18" s="14" t="str">
        <f aca="false">IF(C3&gt;=x4_floor_unit,"так","ні")</f>
        <v>так</v>
      </c>
      <c r="D18" s="14" t="str">
        <f aca="false">IF(D3&gt;=x4_floor_unit,"так","ні")</f>
        <v>так</v>
      </c>
      <c r="E18" s="14" t="str">
        <f aca="false">IF(E3&gt;=x4_floor_unit,"так","ні")</f>
        <v>так</v>
      </c>
    </row>
    <row r="19" customFormat="false" ht="15" hidden="false" customHeight="false" outlineLevel="0" collapsed="false">
      <c r="A19" s="2" t="s">
        <v>172</v>
      </c>
      <c r="B19" s="2" t="s">
        <v>173</v>
      </c>
      <c r="C19" s="15" t="n">
        <f aca="false">C8/C10</f>
        <v>0.157894736842105</v>
      </c>
      <c r="D19" s="15" t="n">
        <f aca="false">D8/D10</f>
        <v>0.157894736842105</v>
      </c>
      <c r="E19" s="15" t="n">
        <f aca="false">E8/E10</f>
        <v>0.157894736842105</v>
      </c>
    </row>
    <row r="20" customFormat="false" ht="15" hidden="false" customHeight="false" outlineLevel="0" collapsed="false">
      <c r="A20" s="2" t="s">
        <v>174</v>
      </c>
      <c r="B20" s="2" t="s">
        <v>175</v>
      </c>
      <c r="C20" s="14" t="n">
        <f aca="false">(1-x4_high_share)*x4_cogs+x4_high_share*x4_cogs_high</f>
        <v>17.488</v>
      </c>
      <c r="D20" s="14" t="n">
        <f aca="false">(1-x4_high_share)*x4_cogs+x4_high_share*x4_cogs_high</f>
        <v>17.488</v>
      </c>
      <c r="E20" s="14" t="n">
        <f aca="false">(1-x4_high_share)*x4_cogs+x4_high_share*x4_cogs_high</f>
        <v>17.488</v>
      </c>
    </row>
    <row r="21" customFormat="false" ht="15" hidden="false" customHeight="false" outlineLevel="0" collapsed="false">
      <c r="A21" s="2" t="s">
        <v>176</v>
      </c>
      <c r="B21" s="2" t="s">
        <v>177</v>
      </c>
      <c r="C21" s="14" t="n">
        <f aca="false">C8+C6*C20</f>
        <v>20.488</v>
      </c>
      <c r="D21" s="14" t="n">
        <f aca="false">D8+D6*D20</f>
        <v>40.976</v>
      </c>
      <c r="E21" s="14" t="n">
        <f aca="false">E8+E6*E20</f>
        <v>102.44</v>
      </c>
    </row>
    <row r="22" customFormat="false" ht="15" hidden="false" customHeight="false" outlineLevel="0" collapsed="false">
      <c r="A22" s="2" t="s">
        <v>178</v>
      </c>
      <c r="B22" s="2" t="s">
        <v>179</v>
      </c>
      <c r="C22" s="14" t="n">
        <f aca="false">C6*x4_high_share*x4_over</f>
        <v>5.5</v>
      </c>
      <c r="D22" s="14" t="n">
        <f aca="false">D6*x4_high_share*x4_over</f>
        <v>11</v>
      </c>
      <c r="E22" s="14" t="n">
        <f aca="false">E6*x4_high_share*x4_over</f>
        <v>27.5</v>
      </c>
    </row>
    <row r="23" customFormat="false" ht="15" hidden="false" customHeight="false" outlineLevel="0" collapsed="false">
      <c r="A23" s="2" t="s">
        <v>180</v>
      </c>
      <c r="B23" s="2" t="s">
        <v>181</v>
      </c>
      <c r="C23" s="14" t="n">
        <f aca="false">C9+C22</f>
        <v>140.5</v>
      </c>
      <c r="D23" s="14" t="n">
        <f aca="false">D9+D22</f>
        <v>281</v>
      </c>
      <c r="E23" s="14" t="n">
        <f aca="false">E9+E22</f>
        <v>627.5</v>
      </c>
    </row>
    <row r="24" customFormat="false" ht="23.85" hidden="false" customHeight="false" outlineLevel="0" collapsed="false">
      <c r="A24" s="2" t="s">
        <v>182</v>
      </c>
      <c r="B24" s="2" t="s">
        <v>159</v>
      </c>
      <c r="C24" s="15" t="n">
        <f aca="false">(C23-C21)/C23</f>
        <v>0.854177935943061</v>
      </c>
      <c r="D24" s="15" t="n">
        <f aca="false">(D23-D21)/D23</f>
        <v>0.854177935943061</v>
      </c>
      <c r="E24" s="15" t="n">
        <f aca="false">(E23-E21)/E23</f>
        <v>0.836749003984064</v>
      </c>
    </row>
    <row r="26" customFormat="false" ht="15" hidden="false" customHeight="false" outlineLevel="0" collapsed="false">
      <c r="A26" s="1" t="s">
        <v>183</v>
      </c>
      <c r="B26" s="1" t="s">
        <v>184</v>
      </c>
      <c r="C26" s="1" t="s">
        <v>185</v>
      </c>
    </row>
    <row r="27" customFormat="false" ht="15" hidden="false" customHeight="false" outlineLevel="0" collapsed="false">
      <c r="A27" s="2" t="s">
        <v>186</v>
      </c>
      <c r="B27" s="5" t="n">
        <f aca="false">x4_cogs_var/(1-x4_gm)</f>
        <v>53.3333333333333</v>
      </c>
      <c r="C27" s="15" t="n">
        <f aca="false">(B27-x4_cogs_var)/B27</f>
        <v>0.7</v>
      </c>
    </row>
    <row r="28" customFormat="false" ht="15" hidden="false" customHeight="false" outlineLevel="0" collapsed="false">
      <c r="A28" s="2" t="s">
        <v>187</v>
      </c>
      <c r="B28" s="5" t="n">
        <f aca="false">x4_cogs_var*(1+x4_gm)</f>
        <v>27.2</v>
      </c>
      <c r="C28" s="15" t="n">
        <f aca="false">(B28-x4_cogs_var)/B28</f>
        <v>0.411764705882353</v>
      </c>
    </row>
    <row r="30" customFormat="false" ht="15" hidden="false" customHeight="false" outlineLevel="0" collapsed="false">
      <c r="A30" s="1" t="s">
        <v>188</v>
      </c>
      <c r="B30" s="1" t="s">
        <v>2</v>
      </c>
    </row>
    <row r="31" customFormat="false" ht="15" hidden="false" customHeight="false" outlineLevel="0" collapsed="false">
      <c r="A31" s="2" t="s">
        <v>189</v>
      </c>
      <c r="B31" s="16" t="n">
        <f aca="false">(x4_mix_B*(C9-C10)+x4_mix_S*(D9-D10)+x4_mix_P*(E9-E10))/(x4_mix_B*C9+x4_mix_S*D9+x4_mix_P*E9)</f>
        <v>0.854504504504504</v>
      </c>
    </row>
    <row r="32" customFormat="false" ht="15" hidden="false" customHeight="false" outlineLevel="0" collapsed="false">
      <c r="A32" s="2" t="s">
        <v>190</v>
      </c>
      <c r="B32" s="16" t="n">
        <f aca="false">(x4_mix_B*(C23-C21)+x4_mix_S*(D23-D21)+x4_mix_P*(E23-E21))/(x4_mix_B*C23+x4_mix_S*D23+x4_mix_P*E23)</f>
        <v>0.84945061594986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1"/>
    <col collapsed="false" customWidth="true" hidden="false" outlineLevel="0" max="6" min="3" style="0" width="12"/>
  </cols>
  <sheetData>
    <row r="1" customFormat="false" ht="15" hidden="false" customHeight="false" outlineLevel="0" collapsed="false">
      <c r="A1" s="1" t="s">
        <v>1</v>
      </c>
      <c r="B1" s="1" t="s">
        <v>191</v>
      </c>
      <c r="C1" s="1" t="s">
        <v>140</v>
      </c>
      <c r="D1" s="1" t="s">
        <v>141</v>
      </c>
      <c r="E1" s="1" t="s">
        <v>142</v>
      </c>
    </row>
    <row r="2" customFormat="false" ht="15" hidden="false" customHeight="false" outlineLevel="0" collapsed="false">
      <c r="A2" s="2" t="s">
        <v>192</v>
      </c>
      <c r="B2" s="2" t="s">
        <v>193</v>
      </c>
      <c r="C2" s="11" t="n">
        <v>2</v>
      </c>
      <c r="D2" s="11" t="n">
        <v>5</v>
      </c>
      <c r="E2" s="11" t="n">
        <v>20</v>
      </c>
    </row>
    <row r="3" customFormat="false" ht="15" hidden="false" customHeight="false" outlineLevel="0" collapsed="false">
      <c r="A3" s="2" t="s">
        <v>194</v>
      </c>
      <c r="B3" s="2" t="s">
        <v>195</v>
      </c>
      <c r="C3" s="14" t="n">
        <f aca="false">Тарифи!C2+Тарифи!C3*C2</f>
        <v>245</v>
      </c>
      <c r="D3" s="14" t="n">
        <f aca="false">Тарифи!D2+Тарифи!D3*D2</f>
        <v>600</v>
      </c>
      <c r="E3" s="14" t="n">
        <f aca="false">Тарифи!E2+Тарифи!E3*E2</f>
        <v>1950</v>
      </c>
    </row>
    <row r="4" customFormat="false" ht="15" hidden="false" customHeight="false" outlineLevel="0" collapsed="false">
      <c r="A4" s="2" t="s">
        <v>196</v>
      </c>
      <c r="B4" s="2" t="s">
        <v>197</v>
      </c>
      <c r="C4" s="14" t="n">
        <f aca="false">Тарифи!C8+C2*x4_cogs_high</f>
        <v>64.76</v>
      </c>
      <c r="D4" s="14" t="n">
        <f aca="false">Тарифи!D8+D2*x4_cogs_high</f>
        <v>160.4</v>
      </c>
      <c r="E4" s="14" t="n">
        <f aca="false">Тарифи!E8+E2*x4_cogs_high</f>
        <v>632.6</v>
      </c>
    </row>
    <row r="5" customFormat="false" ht="15" hidden="false" customHeight="false" outlineLevel="0" collapsed="false">
      <c r="A5" s="2" t="s">
        <v>198</v>
      </c>
      <c r="B5" s="2"/>
      <c r="C5" s="15" t="n">
        <f aca="false">(C3-C4)/C3</f>
        <v>0.735673469387755</v>
      </c>
      <c r="D5" s="15" t="n">
        <f aca="false">(D3-D4)/D3</f>
        <v>0.732666666666667</v>
      </c>
      <c r="E5" s="15" t="n">
        <f aca="false">(E3-E4)/E3</f>
        <v>0.675589743589744</v>
      </c>
    </row>
    <row r="6" customFormat="false" ht="15" hidden="false" customHeight="false" outlineLevel="0" collapsed="false">
      <c r="A6" s="2" t="s">
        <v>199</v>
      </c>
      <c r="B6" s="2" t="s">
        <v>200</v>
      </c>
      <c r="C6" s="14" t="n">
        <f aca="false">C2*x4_over</f>
        <v>110</v>
      </c>
      <c r="D6" s="14" t="n">
        <f aca="false">D2*x4_over</f>
        <v>275</v>
      </c>
      <c r="E6" s="14" t="n">
        <f aca="false">E2*x4_over</f>
        <v>1100</v>
      </c>
    </row>
    <row r="7" customFormat="false" ht="15" hidden="false" customHeight="false" outlineLevel="0" collapsed="false">
      <c r="A7" s="2" t="s">
        <v>201</v>
      </c>
      <c r="B7" s="2"/>
      <c r="C7" s="14" t="n">
        <f aca="false">C3+C6</f>
        <v>355</v>
      </c>
      <c r="D7" s="14" t="n">
        <f aca="false">D3+D6</f>
        <v>875</v>
      </c>
      <c r="E7" s="14" t="n">
        <f aca="false">E3+E6</f>
        <v>3050</v>
      </c>
    </row>
    <row r="8" customFormat="false" ht="15" hidden="false" customHeight="false" outlineLevel="0" collapsed="false">
      <c r="A8" s="2" t="s">
        <v>202</v>
      </c>
      <c r="B8" s="2"/>
      <c r="C8" s="15" t="n">
        <f aca="false">(C7-C4)/C7</f>
        <v>0.817577464788732</v>
      </c>
      <c r="D8" s="15" t="n">
        <f aca="false">(D7-D4)/D7</f>
        <v>0.816685714285714</v>
      </c>
      <c r="E8" s="15" t="n">
        <f aca="false">(E7-E4)/E7</f>
        <v>0.792590163934426</v>
      </c>
    </row>
    <row r="9" customFormat="false" ht="15" hidden="false" customHeight="false" outlineLevel="0" collapsed="false">
      <c r="A9" s="2" t="s">
        <v>203</v>
      </c>
      <c r="B9" s="2"/>
      <c r="C9" s="14" t="str">
        <f aca="false">IF(C5&gt;=x4_gm,"так","ні")</f>
        <v>так</v>
      </c>
      <c r="D9" s="14" t="str">
        <f aca="false">IF(D5&gt;=x4_gm,"так","ні")</f>
        <v>так</v>
      </c>
      <c r="E9" s="14" t="str">
        <f aca="false">IF(E5&gt;=x4_gm,"так","ні")</f>
        <v>ні</v>
      </c>
    </row>
    <row r="10" customFormat="false" ht="15" hidden="false" customHeight="false" outlineLevel="0" collapsed="false">
      <c r="A10" s="2" t="s">
        <v>204</v>
      </c>
      <c r="B10" s="2"/>
      <c r="C10" s="14" t="str">
        <f aca="false">IF(C8&gt;=x4_gm,"так","ні")</f>
        <v>так</v>
      </c>
      <c r="D10" s="14" t="str">
        <f aca="false">IF(D8&gt;=x4_gm,"так","ні")</f>
        <v>так</v>
      </c>
      <c r="E10" s="14" t="str">
        <f aca="false">IF(E8&gt;=x4_gm,"так","ні")</f>
        <v>так</v>
      </c>
    </row>
    <row r="12" customFormat="false" ht="15" hidden="false" customHeight="false" outlineLevel="0" collapsed="false">
      <c r="A12" s="1" t="s">
        <v>205</v>
      </c>
      <c r="B12" s="1" t="s">
        <v>191</v>
      </c>
      <c r="C12" s="17" t="n">
        <v>0</v>
      </c>
      <c r="D12" s="17" t="n">
        <v>1</v>
      </c>
      <c r="E12" s="17" t="n">
        <v>2</v>
      </c>
      <c r="F12" s="17" t="n">
        <v>3</v>
      </c>
    </row>
    <row r="13" customFormat="false" ht="15" hidden="false" customHeight="false" outlineLevel="0" collapsed="false">
      <c r="A13" s="2" t="s">
        <v>206</v>
      </c>
      <c r="B13" s="2" t="s">
        <v>207</v>
      </c>
      <c r="C13" s="14" t="n">
        <f aca="false">Сценарії!$C$12-Сценарії!$C$11*x4_fee*C12/x4_episode</f>
        <v>467.5</v>
      </c>
      <c r="D13" s="14" t="n">
        <f aca="false">Сценарії!$C$12-Сценарії!$C$11*x4_fee*D12/x4_episode</f>
        <v>432.083333333333</v>
      </c>
      <c r="E13" s="14" t="n">
        <f aca="false">Сценарії!$C$12-Сценарії!$C$11*x4_fee*E12/x4_episode</f>
        <v>396.666666666667</v>
      </c>
      <c r="F13" s="14" t="n">
        <f aca="false">Сценарії!$C$12-Сценарії!$C$11*x4_fee*F12/x4_episode</f>
        <v>361.25</v>
      </c>
    </row>
    <row r="14" customFormat="false" ht="15" hidden="false" customHeight="false" outlineLevel="0" collapsed="false">
      <c r="A14" s="2" t="s">
        <v>208</v>
      </c>
      <c r="B14" s="2" t="s">
        <v>209</v>
      </c>
      <c r="C14" s="14" t="n">
        <f aca="false">Сценарії!$C$13-Сценарії!$C$11*x4_fee*C12/x4_episode</f>
        <v>11567.5</v>
      </c>
      <c r="D14" s="14" t="n">
        <f aca="false">Сценарії!$C$13-Сценарії!$C$11*x4_fee*D12/x4_episode</f>
        <v>11532.0833333333</v>
      </c>
      <c r="E14" s="14" t="n">
        <f aca="false">Сценарії!$C$13-Сценарії!$C$11*x4_fee*E12/x4_episode</f>
        <v>11496.6666666667</v>
      </c>
      <c r="F14" s="14" t="n">
        <f aca="false">Сценарії!$C$13-Сценарії!$C$11*x4_fee*F12/x4_episode</f>
        <v>11461.25</v>
      </c>
    </row>
    <row r="15" customFormat="false" ht="15" hidden="false" customHeight="false" outlineLevel="0" collapsed="false">
      <c r="A15" s="2" t="s">
        <v>210</v>
      </c>
      <c r="B15" s="2" t="s">
        <v>159</v>
      </c>
      <c r="C15" s="15" t="n">
        <f aca="false">(C14-Сценарії!$C$16)/C14</f>
        <v>0.84945061594986</v>
      </c>
      <c r="D15" s="15" t="n">
        <f aca="false">(D14-Сценарії!$C$16)/D14</f>
        <v>0.84898825739784</v>
      </c>
      <c r="E15" s="15" t="n">
        <f aca="false">(E14-Сценарії!$C$16)/E14</f>
        <v>0.848523050159467</v>
      </c>
      <c r="F15" s="15" t="n">
        <f aca="false">(F14-Сценарії!$C$16)/F14</f>
        <v>0.848054967826372</v>
      </c>
    </row>
    <row r="16" customFormat="false" ht="15" hidden="false" customHeight="false" outlineLevel="0" collapsed="false">
      <c r="A16" s="2" t="s">
        <v>211</v>
      </c>
      <c r="B16" s="2" t="s">
        <v>212</v>
      </c>
      <c r="C16" s="15" t="n">
        <f aca="false">($E$7-$E$2*x4_fee-$E$4)/($E$7-$E$2*x4_fee)</f>
        <v>0.691414634146342</v>
      </c>
      <c r="D16" s="15" t="n">
        <f aca="false">($E$7-$E$2*x4_fee-$E$4)/($E$7-$E$2*x4_fee)</f>
        <v>0.691414634146342</v>
      </c>
      <c r="E16" s="15" t="n">
        <f aca="false">($E$7-$E$2*x4_fee-$E$4)/($E$7-$E$2*x4_fee)</f>
        <v>0.691414634146342</v>
      </c>
      <c r="F16" s="15" t="n">
        <f aca="false">($E$7-$E$2*x4_fee-$E$4)/($E$7-$E$2*x4_fee)</f>
        <v>0.691414634146342</v>
      </c>
    </row>
    <row r="17" customFormat="false" ht="15" hidden="false" customHeight="false" outlineLevel="0" collapsed="false">
      <c r="A17" s="2" t="s">
        <v>213</v>
      </c>
      <c r="B17" s="2" t="s">
        <v>214</v>
      </c>
      <c r="C17" s="15" t="n">
        <f aca="false">($E$7*(x4_episode-C12)+($E$7-$E$2*x4_fee)*C12-x4_episode*$E$4)/($E$7*(x4_episode-C12)+($E$7-$E$2*x4_fee)*C12)</f>
        <v>0.792590163934426</v>
      </c>
      <c r="D17" s="15" t="n">
        <f aca="false">($E$7*(x4_episode-D12)+($E$7-$E$2*x4_fee)*D12-x4_episode*$E$4)/($E$7*(x4_episode-D12)+($E$7-$E$2*x4_fee)*D12)</f>
        <v>0.78676404494382</v>
      </c>
      <c r="E17" s="15" t="n">
        <f aca="false">($E$7*(x4_episode-E12)+($E$7-$E$2*x4_fee)*E12-x4_episode*$E$4)/($E$7*(x4_episode-E12)+($E$7-$E$2*x4_fee)*E12)</f>
        <v>0.780601156069364</v>
      </c>
      <c r="F17" s="15" t="n">
        <f aca="false">($E$7*(x4_episode-F12)+($E$7-$E$2*x4_fee)*F12-x4_episode*$E$4)/($E$7*(x4_episode-F12)+($E$7-$E$2*x4_fee)*F12)</f>
        <v>0.774071428571429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5"/>
  </cols>
  <sheetData>
    <row r="1" customFormat="false" ht="15" hidden="false" customHeight="false" outlineLevel="0" collapsed="false">
      <c r="A1" s="1" t="s">
        <v>215</v>
      </c>
      <c r="B1" s="1" t="s">
        <v>216</v>
      </c>
      <c r="C1" s="1" t="s">
        <v>217</v>
      </c>
      <c r="D1" s="1" t="s">
        <v>218</v>
      </c>
    </row>
    <row r="2" customFormat="false" ht="15" hidden="false" customHeight="false" outlineLevel="0" collapsed="false">
      <c r="A2" s="2" t="s">
        <v>219</v>
      </c>
      <c r="B2" s="18" t="n">
        <v>0.7</v>
      </c>
      <c r="C2" s="18" t="n">
        <v>1</v>
      </c>
      <c r="D2" s="18" t="n">
        <v>1.4</v>
      </c>
    </row>
    <row r="3" customFormat="false" ht="15" hidden="false" customHeight="false" outlineLevel="0" collapsed="false">
      <c r="A3" s="2" t="s">
        <v>220</v>
      </c>
      <c r="B3" s="19" t="n">
        <f aca="false">x4_scale*B2</f>
        <v>59.5</v>
      </c>
      <c r="C3" s="19" t="n">
        <f aca="false">x4_scale*C2</f>
        <v>85</v>
      </c>
      <c r="D3" s="19" t="n">
        <f aca="false">x4_scale*D2</f>
        <v>119</v>
      </c>
    </row>
    <row r="4" customFormat="false" ht="15" hidden="false" customHeight="false" outlineLevel="0" collapsed="false">
      <c r="A4" s="2" t="s">
        <v>221</v>
      </c>
      <c r="B4" s="19" t="n">
        <f aca="false">x4_mix_B*x4_use_B+x4_mix_S*x4_use_S+x4_mix_P*x4_use_P</f>
        <v>1.7</v>
      </c>
      <c r="C4" s="19" t="n">
        <f aca="false">x4_mix_B*x4_use_B+x4_mix_S*x4_use_S+x4_mix_P*x4_use_P</f>
        <v>1.7</v>
      </c>
      <c r="D4" s="19" t="n">
        <f aca="false">x4_mix_B*x4_use_B+x4_mix_S*x4_use_S+x4_mix_P*x4_use_P</f>
        <v>1.7</v>
      </c>
    </row>
    <row r="5" customFormat="false" ht="15" hidden="false" customHeight="false" outlineLevel="0" collapsed="false">
      <c r="A5" s="2" t="s">
        <v>222</v>
      </c>
      <c r="B5" s="19" t="n">
        <f aca="false">B3/B4</f>
        <v>35</v>
      </c>
      <c r="C5" s="19" t="n">
        <f aca="false">C3/C4</f>
        <v>50</v>
      </c>
      <c r="D5" s="19" t="n">
        <f aca="false">D3/D4</f>
        <v>70</v>
      </c>
    </row>
    <row r="6" customFormat="false" ht="15" hidden="false" customHeight="false" outlineLevel="0" collapsed="false">
      <c r="A6" s="2" t="s">
        <v>223</v>
      </c>
      <c r="B6" s="19" t="n">
        <f aca="false">B5*x4_mix_B</f>
        <v>21</v>
      </c>
      <c r="C6" s="19" t="n">
        <f aca="false">C5*x4_mix_B</f>
        <v>30</v>
      </c>
      <c r="D6" s="19" t="n">
        <f aca="false">D5*x4_mix_B</f>
        <v>42</v>
      </c>
    </row>
    <row r="7" customFormat="false" ht="15" hidden="false" customHeight="false" outlineLevel="0" collapsed="false">
      <c r="A7" s="2" t="s">
        <v>224</v>
      </c>
      <c r="B7" s="19" t="n">
        <f aca="false">B5*x4_mix_S</f>
        <v>10.5</v>
      </c>
      <c r="C7" s="19" t="n">
        <f aca="false">C5*x4_mix_S</f>
        <v>15</v>
      </c>
      <c r="D7" s="19" t="n">
        <f aca="false">D5*x4_mix_S</f>
        <v>21</v>
      </c>
    </row>
    <row r="8" customFormat="false" ht="15" hidden="false" customHeight="false" outlineLevel="0" collapsed="false">
      <c r="A8" s="2" t="s">
        <v>225</v>
      </c>
      <c r="B8" s="19" t="n">
        <f aca="false">B5*x4_mix_P</f>
        <v>3.5</v>
      </c>
      <c r="C8" s="19" t="n">
        <f aca="false">C5*x4_mix_P</f>
        <v>5</v>
      </c>
      <c r="D8" s="19" t="n">
        <f aca="false">D5*x4_mix_P</f>
        <v>7</v>
      </c>
    </row>
    <row r="9" customFormat="false" ht="15" hidden="false" customHeight="false" outlineLevel="0" collapsed="false">
      <c r="A9" s="2" t="s">
        <v>226</v>
      </c>
      <c r="B9" s="14" t="n">
        <f aca="false">B6*x4_base_B+B7*x4_base_S+B8*x4_base_P</f>
        <v>1575</v>
      </c>
      <c r="C9" s="14" t="n">
        <f aca="false">C6*x4_base_B+C7*x4_base_S+C8*x4_base_P</f>
        <v>2250</v>
      </c>
      <c r="D9" s="14" t="n">
        <f aca="false">D6*x4_base_B+D7*x4_base_S+D8*x4_base_P</f>
        <v>3150</v>
      </c>
    </row>
    <row r="10" customFormat="false" ht="15" hidden="false" customHeight="false" outlineLevel="0" collapsed="false">
      <c r="A10" s="2" t="s">
        <v>227</v>
      </c>
      <c r="B10" s="14" t="n">
        <f aca="false">B6*x4_use_B*x4_pb_B+B7*x4_use_S*x4_pb_S+B8*x4_use_P*x4_pb_P</f>
        <v>6195</v>
      </c>
      <c r="C10" s="14" t="n">
        <f aca="false">C6*x4_use_B*x4_pb_B+C7*x4_use_S*x4_pb_S+C8*x4_use_P*x4_pb_P</f>
        <v>8850</v>
      </c>
      <c r="D10" s="14" t="n">
        <f aca="false">D6*x4_use_B*x4_pb_B+D7*x4_use_S*x4_pb_S+D8*x4_use_P*x4_pb_P</f>
        <v>12390</v>
      </c>
    </row>
    <row r="11" customFormat="false" ht="15" hidden="false" customHeight="false" outlineLevel="0" collapsed="false">
      <c r="A11" s="2" t="s">
        <v>228</v>
      </c>
      <c r="B11" s="19" t="n">
        <f aca="false">B3*x4_high_share</f>
        <v>5.95</v>
      </c>
      <c r="C11" s="19" t="n">
        <f aca="false">C3*x4_high_share</f>
        <v>8.5</v>
      </c>
      <c r="D11" s="19" t="n">
        <f aca="false">D3*x4_high_share</f>
        <v>11.9</v>
      </c>
    </row>
    <row r="12" customFormat="false" ht="15" hidden="false" customHeight="false" outlineLevel="0" collapsed="false">
      <c r="A12" s="2" t="s">
        <v>229</v>
      </c>
      <c r="B12" s="14" t="n">
        <f aca="false">B11*x4_over</f>
        <v>327.25</v>
      </c>
      <c r="C12" s="14" t="n">
        <f aca="false">C11*x4_over</f>
        <v>467.5</v>
      </c>
      <c r="D12" s="14" t="n">
        <f aca="false">D11*x4_over</f>
        <v>654.5</v>
      </c>
    </row>
    <row r="13" customFormat="false" ht="15" hidden="false" customHeight="false" outlineLevel="0" collapsed="false">
      <c r="A13" s="2" t="s">
        <v>230</v>
      </c>
      <c r="B13" s="14" t="n">
        <f aca="false">B9+B10+B12</f>
        <v>8097.25</v>
      </c>
      <c r="C13" s="14" t="n">
        <f aca="false">C9+C10+C12</f>
        <v>11567.5</v>
      </c>
      <c r="D13" s="14" t="n">
        <f aca="false">D9+D10+D12</f>
        <v>16194.5</v>
      </c>
    </row>
    <row r="14" customFormat="false" ht="15" hidden="false" customHeight="false" outlineLevel="0" collapsed="false">
      <c r="A14" s="2" t="s">
        <v>231</v>
      </c>
      <c r="B14" s="14" t="n">
        <f aca="false">B6*x4_cc_B+B7*x4_cc_S+B8*x4_cc_P</f>
        <v>178.5</v>
      </c>
      <c r="C14" s="14" t="n">
        <f aca="false">C6*x4_cc_B+C7*x4_cc_S+C8*x4_cc_P</f>
        <v>255</v>
      </c>
      <c r="D14" s="14" t="n">
        <f aca="false">D6*x4_cc_B+D7*x4_cc_S+D8*x4_cc_P</f>
        <v>357</v>
      </c>
    </row>
    <row r="15" customFormat="false" ht="15" hidden="false" customHeight="false" outlineLevel="0" collapsed="false">
      <c r="A15" s="2" t="s">
        <v>232</v>
      </c>
      <c r="B15" s="14" t="n">
        <f aca="false">(B3-B11)*x4_cogs+B11*x4_cogs_high</f>
        <v>1040.536</v>
      </c>
      <c r="C15" s="14" t="n">
        <f aca="false">(C3-C11)*x4_cogs+C11*x4_cogs_high</f>
        <v>1486.48</v>
      </c>
      <c r="D15" s="14" t="n">
        <f aca="false">(D3-D11)*x4_cogs+D11*x4_cogs_high</f>
        <v>2081.072</v>
      </c>
    </row>
    <row r="16" customFormat="false" ht="15" hidden="false" customHeight="false" outlineLevel="0" collapsed="false">
      <c r="A16" s="2" t="s">
        <v>233</v>
      </c>
      <c r="B16" s="14" t="n">
        <f aca="false">B14+B15</f>
        <v>1219.036</v>
      </c>
      <c r="C16" s="14" t="n">
        <f aca="false">C14+C15</f>
        <v>1741.48</v>
      </c>
      <c r="D16" s="14" t="n">
        <f aca="false">D14+D15</f>
        <v>2438.072</v>
      </c>
    </row>
    <row r="17" customFormat="false" ht="15" hidden="false" customHeight="false" outlineLevel="0" collapsed="false">
      <c r="A17" s="2" t="s">
        <v>234</v>
      </c>
      <c r="B17" s="14" t="n">
        <f aca="false">B13-B16</f>
        <v>6878.214</v>
      </c>
      <c r="C17" s="14" t="n">
        <f aca="false">C13-C16</f>
        <v>9826.02</v>
      </c>
      <c r="D17" s="14" t="n">
        <f aca="false">D13-D16</f>
        <v>13756.428</v>
      </c>
    </row>
    <row r="18" customFormat="false" ht="15" hidden="false" customHeight="false" outlineLevel="0" collapsed="false">
      <c r="A18" s="2" t="s">
        <v>158</v>
      </c>
      <c r="B18" s="15" t="n">
        <f aca="false">B17/B13</f>
        <v>0.84945061594986</v>
      </c>
      <c r="C18" s="15" t="n">
        <f aca="false">C17/C13</f>
        <v>0.84945061594986</v>
      </c>
      <c r="D18" s="15" t="n">
        <f aca="false">D17/D13</f>
        <v>0.84945061594986</v>
      </c>
    </row>
    <row r="19" customFormat="false" ht="15" hidden="false" customHeight="false" outlineLevel="0" collapsed="false">
      <c r="A19" s="2" t="s">
        <v>235</v>
      </c>
      <c r="B19" s="14" t="n">
        <f aca="false">B13/B5</f>
        <v>231.35</v>
      </c>
      <c r="C19" s="14" t="n">
        <f aca="false">C13/C5</f>
        <v>231.35</v>
      </c>
      <c r="D19" s="14" t="n">
        <f aca="false">D13/D5</f>
        <v>231.35</v>
      </c>
    </row>
    <row r="20" customFormat="false" ht="15" hidden="false" customHeight="false" outlineLevel="0" collapsed="false">
      <c r="A20" s="2" t="s">
        <v>236</v>
      </c>
      <c r="B20" s="14" t="n">
        <f aca="false">B13/B3</f>
        <v>136.088235294118</v>
      </c>
      <c r="C20" s="14" t="n">
        <f aca="false">C13/C3</f>
        <v>136.088235294118</v>
      </c>
      <c r="D20" s="14" t="n">
        <f aca="false">D13/D3</f>
        <v>136.088235294118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2026-10-05T19:14:08Z</dcterms:created>
  <dc:creator>openpyxl</dc:creator>
  <dc:description/>
  <dc:language>uk-UA</dc:language>
  <cp:lastModifiedBy/>
  <dcterms:modified xsi:type="dcterms:W3CDTF">2026-10-05T19:14:08Z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