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Параметри ЛР2" sheetId="1" state="visible" r:id="rId3"/>
    <sheet name="Журнал scope" sheetId="2" state="visible" r:id="rId4"/>
    <sheet name="WBS і CPM" sheetId="3" state="visible" r:id="rId5"/>
    <sheet name="PERT і резерв" sheetId="4" state="visible" r:id="rId6"/>
    <sheet name="Backlog і velocity" sheetId="5" state="visible" r:id="rId7"/>
    <sheet name="UCP" sheetId="6" state="visible" r:id="rId8"/>
    <sheet name="Календар" sheetId="7" state="visible" r:id="rId9"/>
    <sheet name="Порівняння" sheetId="8" state="visible" r:id="rId10"/>
  </sheets>
  <definedNames>
    <definedName function="false" hidden="false" name="bl_days" vbProcedure="false">'PERT і резерв'!$B$18</definedName>
    <definedName function="false" hidden="false" name="bl_p50" vbProcedure="false">'PERT і резерв'!$B$13</definedName>
    <definedName function="false" hidden="false" name="bl_p80" vbProcedure="false">'PERT і резерв'!$B$14</definedName>
    <definedName function="false" hidden="false" name="capd_BA" vbProcedure="false">'Параметри ЛР2'!$D$22</definedName>
    <definedName function="false" hidden="false" name="capd_D1" vbProcedure="false">'Параметри ЛР2'!$D$23</definedName>
    <definedName function="false" hidden="false" name="capd_D2" vbProcedure="false">'Параметри ЛР2'!$D$24</definedName>
    <definedName function="false" hidden="false" name="capd_OPS" vbProcedure="false">'Параметри ЛР2'!$D$26</definedName>
    <definedName function="false" hidden="false" name="capd_QA" vbProcedure="false">'Параметри ЛР2'!$D$25</definedName>
    <definedName function="false" hidden="false" name="cap_BA" vbProcedure="false">'Параметри ЛР2'!$E$22</definedName>
    <definedName function="false" hidden="false" name="cap_D1" vbProcedure="false">'Параметри ЛР2'!$E$23</definedName>
    <definedName function="false" hidden="false" name="cap_D2" vbProcedure="false">'Параметри ЛР2'!$E$24</definedName>
    <definedName function="false" hidden="false" name="cap_OPS" vbProcedure="false">'Параметри ЛР2'!$E$26</definedName>
    <definedName function="false" hidden="false" name="cap_QA" vbProcedure="false">'Параметри ЛР2'!$E$25</definedName>
    <definedName function="false" hidden="false" name="p2_backlog" vbProcedure="false">'Параметри ЛР2'!$C$7</definedName>
    <definedName function="false" hidden="false" name="p2_days_week" vbProcedure="false">'Параметри ЛР2'!$C$5</definedName>
    <definedName function="false" hidden="false" name="p2_ecf" vbProcedure="false">'Параметри ЛР2'!$C$10</definedName>
    <definedName function="false" hidden="false" name="p2_focus" vbProcedure="false">'Параметри ЛР2'!$C$4</definedName>
    <definedName function="false" hidden="false" name="p2_holidays" vbProcedure="false">'Параметри ЛР2'!$A$18:$A$19</definedName>
    <definedName function="false" hidden="false" name="p2_hours" vbProcedure="false">'Параметри ЛР2'!$C$3</definedName>
    <definedName function="false" hidden="false" name="p2_mc_p50" vbProcedure="false">'Параметри ЛР2'!$C$14</definedName>
    <definedName function="false" hidden="false" name="p2_mc_p80" vbProcedure="false">'Параметри ЛР2'!$C$15</definedName>
    <definedName function="false" hidden="false" name="p2_mr" vbProcedure="false">'Параметри ЛР2'!$C$13</definedName>
    <definedName function="false" hidden="false" name="p2_pf" vbProcedure="false">'Параметри ЛР2'!$C$11</definedName>
    <definedName function="false" hidden="false" name="p2_sprint" vbProcedure="false">'Параметри ЛР2'!$C$8</definedName>
    <definedName function="false" hidden="false" name="p2_start" vbProcedure="false">'Параметри ЛР2'!$C$2</definedName>
    <definedName function="false" hidden="false" name="p2_tcf" vbProcedure="false">'Параметри ЛР2'!$C$9</definedName>
    <definedName function="false" hidden="false" name="p2_util" vbProcedure="false">'Параметри ЛР2'!$C$12</definedName>
    <definedName function="false" hidden="false" name="p2_z80" vbProcedure="false">'Параметри ЛР2'!$C$6</definedName>
    <definedName function="false" hidden="false" name="proj_end" vbProcedure="false">'WBS і CPM'!$S$23</definedName>
    <definedName function="false" hidden="false" name="team_day" vbProcedure="false">'Параметри ЛР2'!$D$27</definedName>
    <definedName function="false" hidden="false" name="team_week" vbProcedure="false">'Параметри ЛР2'!$E$27</definedName>
    <definedName function="false" hidden="false" name="ucp_effort" vbProcedure="false">UCP!$D$39</definedName>
    <definedName function="false" hidden="false" name="ucp_val" vbProcedure="false">UCP!$D$37</definedName>
    <definedName function="false" hidden="false" name="ucp_weeks" vbProcedure="false">UCP!$D$52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<sst xmlns="http://schemas.openxmlformats.org/spreadsheetml/2006/main" count="540" uniqueCount="388">
  <si>
    <t xml:space="preserve">Ім'я</t>
  </si>
  <si>
    <t xml:space="preserve">Показник</t>
  </si>
  <si>
    <t xml:space="preserve">Значення</t>
  </si>
  <si>
    <t xml:space="preserve">Одиниця</t>
  </si>
  <si>
    <t xml:space="preserve">Тип</t>
  </si>
  <si>
    <t xml:space="preserve">Пояснення</t>
  </si>
  <si>
    <t xml:space="preserve">p2_start</t>
  </si>
  <si>
    <t xml:space="preserve">Дата старту проєкту</t>
  </si>
  <si>
    <t xml:space="preserve">дата</t>
  </si>
  <si>
    <t xml:space="preserve">П</t>
  </si>
  <si>
    <t xml:space="preserve">після тестів A1, A2, A5 з ЛР № 1</t>
  </si>
  <si>
    <t xml:space="preserve">p2_hours</t>
  </si>
  <si>
    <t xml:space="preserve">Годин у робочому дні</t>
  </si>
  <si>
    <t xml:space="preserve">год</t>
  </si>
  <si>
    <t xml:space="preserve">повний робочий день</t>
  </si>
  <si>
    <t xml:space="preserve">p2_focus</t>
  </si>
  <si>
    <t xml:space="preserve">Частка продуктивного часу</t>
  </si>
  <si>
    <t xml:space="preserve">частка</t>
  </si>
  <si>
    <t xml:space="preserve">30% наради, церемонії, комунікація; 3,75 FTE × 40 × 0,7 = 105</t>
  </si>
  <si>
    <t xml:space="preserve">p2_days_week</t>
  </si>
  <si>
    <t xml:space="preserve">Робочих днів на тиждень</t>
  </si>
  <si>
    <t xml:space="preserve">днів</t>
  </si>
  <si>
    <t xml:space="preserve">p2_z80</t>
  </si>
  <si>
    <t xml:space="preserve">Квантиль N(0;1) рівня 0,8</t>
  </si>
  <si>
    <t xml:space="preserve">Д</t>
  </si>
  <si>
    <t xml:space="preserve">методичка: 0,842</t>
  </si>
  <si>
    <t xml:space="preserve">p2_backlog</t>
  </si>
  <si>
    <t xml:space="preserve">Backlog</t>
  </si>
  <si>
    <t xml:space="preserve">SP</t>
  </si>
  <si>
    <t xml:space="preserve">варіант 14</t>
  </si>
  <si>
    <t xml:space="preserve">p2_sprint</t>
  </si>
  <si>
    <t xml:space="preserve">Тривалість спринту</t>
  </si>
  <si>
    <t xml:space="preserve">тиж.</t>
  </si>
  <si>
    <t xml:space="preserve">усі спринти 2 тижні</t>
  </si>
  <si>
    <t xml:space="preserve">p2_tcf</t>
  </si>
  <si>
    <t xml:space="preserve">TCF</t>
  </si>
  <si>
    <t xml:space="preserve">p2_ecf</t>
  </si>
  <si>
    <t xml:space="preserve">ECF</t>
  </si>
  <si>
    <t xml:space="preserve">p2_pf</t>
  </si>
  <si>
    <t xml:space="preserve">PF</t>
  </si>
  <si>
    <t xml:space="preserve">люд.-год/UCP</t>
  </si>
  <si>
    <t xml:space="preserve">p2_util</t>
  </si>
  <si>
    <t xml:space="preserve">Досяжне завантаження вузької ролі</t>
  </si>
  <si>
    <t xml:space="preserve">залежності і очікування; WBS дає 0,80 для розробників</t>
  </si>
  <si>
    <t xml:space="preserve">p2_mr</t>
  </si>
  <si>
    <t xml:space="preserve">Management reserve</t>
  </si>
  <si>
    <t xml:space="preserve">роб. днів</t>
  </si>
  <si>
    <t xml:space="preserve">системний сценарій нестабільних лічильників</t>
  </si>
  <si>
    <t xml:space="preserve">p2_mc_p50</t>
  </si>
  <si>
    <t xml:space="preserve">P50 за симуляцією Монте-Карло</t>
  </si>
  <si>
    <t xml:space="preserve">Р</t>
  </si>
  <si>
    <t xml:space="preserve">20 000 прогонів, seed 14, Python</t>
  </si>
  <si>
    <t xml:space="preserve">p2_mc_p80</t>
  </si>
  <si>
    <t xml:space="preserve">P80 за симуляцією Монте-Карло</t>
  </si>
  <si>
    <t xml:space="preserve">Неробочі дні</t>
  </si>
  <si>
    <t xml:space="preserve">команда бере 2 дні відпустки; державні свята в умовах воєнного стану не є вихідними</t>
  </si>
  <si>
    <t xml:space="preserve">Роль</t>
  </si>
  <si>
    <t xml:space="preserve">Обов'язки</t>
  </si>
  <si>
    <t xml:space="preserve">FTE</t>
  </si>
  <si>
    <t xml:space="preserve">Год/день</t>
  </si>
  <si>
    <t xml:space="preserve">Год/тиждень</t>
  </si>
  <si>
    <t xml:space="preserve">BA/PM</t>
  </si>
  <si>
    <t xml:space="preserve">вимоги, backlog, критерії приймання, розмітка аномалій, комунікація з пілотною будівлею; UX прототипи дашборда</t>
  </si>
  <si>
    <t xml:space="preserve">Розробник 1</t>
  </si>
  <si>
    <t xml:space="preserve">ПЗ шлюзу Modbus і MQTT, приймання показів, деградований режим, звіти і RBAC</t>
  </si>
  <si>
    <t xml:space="preserve">Розробник 2</t>
  </si>
  <si>
    <t xml:space="preserve">реєстр, базова лінія, виявлення аномалій, сповіщення, інциденти, вебінтерфейс</t>
  </si>
  <si>
    <t xml:space="preserve">QA</t>
  </si>
  <si>
    <t xml:space="preserve">тест-стенд лічильників, автотести інтеграції, навантажувальні тести, приймання</t>
  </si>
  <si>
    <t xml:space="preserve">DevOps</t>
  </si>
  <si>
    <t xml:space="preserve">IaC, CI/CD, середовища, моніторинг, резервні копії, монтаж шлюзу в пілоті</t>
  </si>
  <si>
    <t xml:space="preserve">Разом</t>
  </si>
  <si>
    <t xml:space="preserve">ID</t>
  </si>
  <si>
    <t xml:space="preserve">Елемент ЛР № 1</t>
  </si>
  <si>
    <t xml:space="preserve">Статус</t>
  </si>
  <si>
    <t xml:space="preserve">Зміна / причина</t>
  </si>
  <si>
    <t xml:space="preserve">Вплив</t>
  </si>
  <si>
    <t xml:space="preserve">S1</t>
  </si>
  <si>
    <t xml:space="preserve">F1...F11, межі «поза MVP»</t>
  </si>
  <si>
    <t xml:space="preserve">без змін</t>
  </si>
  <si>
    <t xml:space="preserve">функції і 7 виключень перенесено з ЛР № 1</t>
  </si>
  <si>
    <t xml:space="preserve">немає</t>
  </si>
  <si>
    <t xml:space="preserve">S2</t>
  </si>
  <si>
    <t xml:space="preserve">NFR1...NFR5</t>
  </si>
  <si>
    <t xml:space="preserve">пороги перенесено; NFR1 і NFR4 оформлено окремим backlog item B12 (3 SP)</t>
  </si>
  <si>
    <t xml:space="preserve">+3 SP у backlog</t>
  </si>
  <si>
    <t xml:space="preserve">S3</t>
  </si>
  <si>
    <t xml:space="preserve">F11 Звіт орендарю</t>
  </si>
  <si>
    <t xml:space="preserve">уточнено</t>
  </si>
  <si>
    <t xml:space="preserve">у MVP орендар отримує звіт файлом через пошту, без входу в GUI</t>
  </si>
  <si>
    <t xml:space="preserve">менше UC і актор орендаря не враховано в UCP</t>
  </si>
  <si>
    <t xml:space="preserve">S4</t>
  </si>
  <si>
    <t xml:space="preserve">F5 Базова лінія</t>
  </si>
  <si>
    <t xml:space="preserve">медіана 4 однакових днів тижня потребує 28 діб історії</t>
  </si>
  <si>
    <t xml:space="preserve">у WBS додано пакет 5.4 з накопиченням історії паралельно з розробленням</t>
  </si>
  <si>
    <t xml:space="preserve">S5</t>
  </si>
  <si>
    <t xml:space="preserve">F3 Деградований режим</t>
  </si>
  <si>
    <t xml:space="preserve">приймання на тест-стенді (5.1) і в пілоті (5.5) з реальними обривами</t>
  </si>
  <si>
    <t xml:space="preserve">залежність 2.4 від 5.1</t>
  </si>
  <si>
    <t xml:space="preserve">S6</t>
  </si>
  <si>
    <t xml:space="preserve">F6 Виявлення аномалій</t>
  </si>
  <si>
    <t xml:space="preserve">precision і recall вимірюються спершу на історичних даних тесту A1, потім на 28 добах пілоту</t>
  </si>
  <si>
    <t xml:space="preserve">пакет 5.5</t>
  </si>
  <si>
    <t xml:space="preserve">S7</t>
  </si>
  <si>
    <t xml:space="preserve">Команда MVP</t>
  </si>
  <si>
    <t xml:space="preserve">5 осіб з ЛР № 1 отримали FTE: BA/PM 0,5; 2 розробники по 1,0; QA 0,75; DevOps 0,5; UX виконує BA/PM</t>
  </si>
  <si>
    <t xml:space="preserve">3,75 FTE, 105 продуктивних люд.-год на тиждень</t>
  </si>
  <si>
    <t xml:space="preserve">S8</t>
  </si>
  <si>
    <t xml:space="preserve">Припущення A5, A7, A12</t>
  </si>
  <si>
    <t xml:space="preserve">A12 і пакетний аспект A5 включено в P пакетів 1.2, 2.4; системний сценарій A5 винесено в management reserve</t>
  </si>
  <si>
    <t xml:space="preserve">без подвійного обліку ризику</t>
  </si>
  <si>
    <t xml:space="preserve">Пакет / результат</t>
  </si>
  <si>
    <t xml:space="preserve">Попередник</t>
  </si>
  <si>
    <t xml:space="preserve">Лідер</t>
  </si>
  <si>
    <t xml:space="preserve">BA/PM, год</t>
  </si>
  <si>
    <t xml:space="preserve">Розр. 1, год</t>
  </si>
  <si>
    <t xml:space="preserve">Розр. 2, год</t>
  </si>
  <si>
    <t xml:space="preserve">QA, год</t>
  </si>
  <si>
    <t xml:space="preserve">DevOps, год</t>
  </si>
  <si>
    <t xml:space="preserve">Effort M, год</t>
  </si>
  <si>
    <t xml:space="preserve">O, днів</t>
  </si>
  <si>
    <t xml:space="preserve">M, днів</t>
  </si>
  <si>
    <t xml:space="preserve">P, днів</t>
  </si>
  <si>
    <t xml:space="preserve">E, днів</t>
  </si>
  <si>
    <t xml:space="preserve">σ, днів</t>
  </si>
  <si>
    <t xml:space="preserve">Var, дні²</t>
  </si>
  <si>
    <t xml:space="preserve">Effort E, год</t>
  </si>
  <si>
    <t xml:space="preserve">ES</t>
  </si>
  <si>
    <t xml:space="preserve">EF</t>
  </si>
  <si>
    <t xml:space="preserve">LS</t>
  </si>
  <si>
    <t xml:space="preserve">LF</t>
  </si>
  <si>
    <t xml:space="preserve">Резерв</t>
  </si>
  <si>
    <t xml:space="preserve">Критичний</t>
  </si>
  <si>
    <t xml:space="preserve">Старт</t>
  </si>
  <si>
    <t xml:space="preserve">Фініш</t>
  </si>
  <si>
    <t xml:space="preserve">DoD</t>
  </si>
  <si>
    <t xml:space="preserve">1.1</t>
  </si>
  <si>
    <t xml:space="preserve">Scope freeze: уточнений backlog і критерії приймання</t>
  </si>
  <si>
    <t xml:space="preserve">116 SP оцінено командою, критерії приймання F1...F11 і NFR1...NFR5 погоджено, журнал змін scope підписано</t>
  </si>
  <si>
    <t xml:space="preserve">1.2</t>
  </si>
  <si>
    <t xml:space="preserve">Architecture spike: прототип шлюзу і вибір сховища</t>
  </si>
  <si>
    <t xml:space="preserve">прототип зчитав 3 типи лічильників по Modbus RTU/TCP; ADR щодо БД часових рядів; тест приймання 30 × 96 записів на добу</t>
  </si>
  <si>
    <t xml:space="preserve">1.3</t>
  </si>
  <si>
    <t xml:space="preserve">Інфраструктура: IaC, CI/CD, середовища, моніторинг</t>
  </si>
  <si>
    <t xml:space="preserve">середовища dev, stage, prod створюються з коду; конвеєр CI/CD до 15 хв; моніторинг і резервні копії (NFR3)</t>
  </si>
  <si>
    <t xml:space="preserve">2.1</t>
  </si>
  <si>
    <t xml:space="preserve">F1 Реєстр будівлі й лічильників</t>
  </si>
  <si>
    <t xml:space="preserve">дерево ввід, поверх, орендар, споживач без циклів; 30 лічильників описано за 2 год</t>
  </si>
  <si>
    <t xml:space="preserve">2.2</t>
  </si>
  <si>
    <t xml:space="preserve">F2 ПЗ шлюзу: опитування Modbus, імпульсні входи, MQTT 5</t>
  </si>
  <si>
    <t xml:space="preserve">на тест-стенді не менше 99% інтервалів доставлено за 7 діб стабільного зв'язку</t>
  </si>
  <si>
    <t xml:space="preserve">2.3</t>
  </si>
  <si>
    <t xml:space="preserve">F4 Приймання показів і контроль якості</t>
  </si>
  <si>
    <t xml:space="preserve">100% з 20 штучних помилкових записів позначено; інтервальне споживання як різниця накопичувальних показів</t>
  </si>
  <si>
    <t xml:space="preserve">2.4</t>
  </si>
  <si>
    <t xml:space="preserve">F3 Деградований режим: буфер 72 год, дозавантаження</t>
  </si>
  <si>
    <t xml:space="preserve">2.3, 5.1</t>
  </si>
  <si>
    <t xml:space="preserve">після обривів 1, 6, 24 год дозавантажено не менше 99,5% інтервалів за 30 хв; 0 хибних алертів на прогалинах</t>
  </si>
  <si>
    <t xml:space="preserve">3.1</t>
  </si>
  <si>
    <t xml:space="preserve">медіана 4 однакових днів тижня і MAD для 30 лічильників розраховуються не довше 60 с</t>
  </si>
  <si>
    <t xml:space="preserve">3.2</t>
  </si>
  <si>
    <t xml:space="preserve">на розмічених історичних даних precision не менше 0,8, recall не менше 0,7</t>
  </si>
  <si>
    <t xml:space="preserve">3.3</t>
  </si>
  <si>
    <t xml:space="preserve">F7 Сповіщення і ескалація</t>
  </si>
  <si>
    <t xml:space="preserve">95% сповіщень надіслано до 2 хв після фіксації аномалії; ескалація SMS після 30 хв без підтвердження</t>
  </si>
  <si>
    <t xml:space="preserve">4.1</t>
  </si>
  <si>
    <t xml:space="preserve">F8 Картка інциденту</t>
  </si>
  <si>
    <t xml:space="preserve">інцидент закривається лише з причиною з довідника; фіксується збережений обсяг кВт·год</t>
  </si>
  <si>
    <t xml:space="preserve">4.2</t>
  </si>
  <si>
    <t xml:space="preserve">F9 Дашборд будівлі</t>
  </si>
  <si>
    <t xml:space="preserve">звіт за 30 діб для 30 лічильників (86 400 точок) відкривається до 2 с</t>
  </si>
  <si>
    <t xml:space="preserve">4.3</t>
  </si>
  <si>
    <t xml:space="preserve">F10 Імпорт рахунку і звірка з вводом</t>
  </si>
  <si>
    <t xml:space="preserve">розбіжність понад 3% між рахунком і лічильником вводу позначається для перевірки</t>
  </si>
  <si>
    <t xml:space="preserve">4.4</t>
  </si>
  <si>
    <t xml:space="preserve">F11 Звіт орендарю і ролі доступу</t>
  </si>
  <si>
    <t xml:space="preserve">PDF і CSV по власних точках обліку; 100% тестів RBAC пройдено; MFA для адміністраторів</t>
  </si>
  <si>
    <t xml:space="preserve">5.1</t>
  </si>
  <si>
    <t xml:space="preserve">Тест-стенд: 6 типів лічильників і імітатор обривів</t>
  </si>
  <si>
    <t xml:space="preserve">1.2 SS+5</t>
  </si>
  <si>
    <t xml:space="preserve">стенд RS-485 з 6 типами лічильників, керований імітатор обривів зв'язку, автотести інтеграції в CI</t>
  </si>
  <si>
    <t xml:space="preserve">5.2</t>
  </si>
  <si>
    <t xml:space="preserve">Feature complete: системне і навантажувальне тестування</t>
  </si>
  <si>
    <t xml:space="preserve">4.2, 4.4</t>
  </si>
  <si>
    <t xml:space="preserve">усі критерії приймання F1...F11 перевірено; NFR1 і NFR4 підтверджено навантажувальним тестом на 20 користувачах</t>
  </si>
  <si>
    <t xml:space="preserve">5.3</t>
  </si>
  <si>
    <t xml:space="preserve">Стабілізація: виправлення дефектів і пентест RBAC</t>
  </si>
  <si>
    <t xml:space="preserve">0 відкритих дефектів критичного і високого рівня; звіт пентесту RBAC без критичних знахідок</t>
  </si>
  <si>
    <t xml:space="preserve">5.4</t>
  </si>
  <si>
    <t xml:space="preserve">Пілот: монтаж шлюзу і накопичення 4 тижнів історії</t>
  </si>
  <si>
    <t xml:space="preserve">2.4, 1.3</t>
  </si>
  <si>
    <t xml:space="preserve">шлюз і 30 лічильників у пілотній будівлі передають дані; накопичено 28 діб історії для базової лінії F5</t>
  </si>
  <si>
    <t xml:space="preserve">5.5</t>
  </si>
  <si>
    <t xml:space="preserve">Пілотна валідація на реальних даних</t>
  </si>
  <si>
    <t xml:space="preserve">5.4, 5.2</t>
  </si>
  <si>
    <t xml:space="preserve">F6 на 28 добах реальних даних: precision не менше 0,8; F3: реальні обриви дозавантажено не менше 99,5%</t>
  </si>
  <si>
    <t xml:space="preserve">5.6</t>
  </si>
  <si>
    <t xml:space="preserve">Release readiness: документація, навчання, go/no-go</t>
  </si>
  <si>
    <t xml:space="preserve">5.3, 5.5</t>
  </si>
  <si>
    <t xml:space="preserve">runbook, інструкція енергоменеджера, навчання 1 год, рішення go/no-go власника пілотної будівлі</t>
  </si>
  <si>
    <t xml:space="preserve">тривалість проєкту за E, роб. днів; effort, год</t>
  </si>
  <si>
    <t xml:space="preserve">критичних</t>
  </si>
  <si>
    <t xml:space="preserve">Пакет</t>
  </si>
  <si>
    <t xml:space="preserve">O</t>
  </si>
  <si>
    <t xml:space="preserve">M</t>
  </si>
  <si>
    <t xml:space="preserve">P</t>
  </si>
  <si>
    <t xml:space="preserve">E</t>
  </si>
  <si>
    <t xml:space="preserve">σ</t>
  </si>
  <si>
    <t xml:space="preserve">Var</t>
  </si>
  <si>
    <t xml:space="preserve">Пояснення P</t>
  </si>
  <si>
    <t xml:space="preserve">ключова невизначеність варіанта: карта регістрів Modbus надходить від постачальника лічильників (A12), частина лічильників відповідає нестабільно; у P закладено 2 ітерації очікування по 5 робочих днів</t>
  </si>
  <si>
    <t xml:space="preserve">ключова невизначеність варіанта на рівні пакета: поведінка конкретних лічильників після перезапуску (скидання лічильника, перехід через нуль), ідемпотентність дозавантаження</t>
  </si>
  <si>
    <t xml:space="preserve">поріг max(3σ; 10%) може потребувати 2...3 циклів налаштування на розмічених даних (A7)</t>
  </si>
  <si>
    <t xml:space="preserve">агрегування 86 400 точок до 2 с може вимагати попередньо обчислених агрегатів</t>
  </si>
  <si>
    <t xml:space="preserve">кількість дефектів після інтеграції з реальними лічильниками невідома до 5.2</t>
  </si>
  <si>
    <t xml:space="preserve">μ = ΣE критичного шляху</t>
  </si>
  <si>
    <t xml:space="preserve">P50 ≈ μ</t>
  </si>
  <si>
    <t xml:space="preserve">ΣVar критичного шляху</t>
  </si>
  <si>
    <t xml:space="preserve">дні²</t>
  </si>
  <si>
    <t xml:space="preserve">σ шляху</t>
  </si>
  <si>
    <t xml:space="preserve">√ΣVar</t>
  </si>
  <si>
    <t xml:space="preserve">P50</t>
  </si>
  <si>
    <t xml:space="preserve">аналітично</t>
  </si>
  <si>
    <t xml:space="preserve">P80</t>
  </si>
  <si>
    <t xml:space="preserve">μ + 0,842σ</t>
  </si>
  <si>
    <t xml:space="preserve">Contingency за формулою</t>
  </si>
  <si>
    <t xml:space="preserve">P80 − P50</t>
  </si>
  <si>
    <t xml:space="preserve">Контроль: кінець мережі за CPM</t>
  </si>
  <si>
    <t xml:space="preserve">має дорівнювати μ</t>
  </si>
  <si>
    <t xml:space="preserve">P80 за Монте-Карло</t>
  </si>
  <si>
    <t xml:space="preserve">враховує злиття шляхів</t>
  </si>
  <si>
    <t xml:space="preserve">Baseline</t>
  </si>
  <si>
    <t xml:space="preserve">більше з двох P80, ціле</t>
  </si>
  <si>
    <t xml:space="preserve">Contingency у baseline</t>
  </si>
  <si>
    <t xml:space="preserve">baseline − P50</t>
  </si>
  <si>
    <t xml:space="preserve">поза baseline</t>
  </si>
  <si>
    <t xml:space="preserve">Дата старту</t>
  </si>
  <si>
    <t xml:space="preserve">Дата P50</t>
  </si>
  <si>
    <t xml:space="preserve">Baseline-дата</t>
  </si>
  <si>
    <t xml:space="preserve">з contingency</t>
  </si>
  <si>
    <t xml:space="preserve">Дата з management reserve</t>
  </si>
  <si>
    <t xml:space="preserve">межа рішення спонсора</t>
  </si>
  <si>
    <t xml:space="preserve">Baseline, тижнів</t>
  </si>
  <si>
    <t xml:space="preserve">Backlog item</t>
  </si>
  <si>
    <t xml:space="preserve">Пакет WBS</t>
  </si>
  <si>
    <t xml:space="preserve">Чому така оцінка</t>
  </si>
  <si>
    <t xml:space="preserve">B1</t>
  </si>
  <si>
    <t xml:space="preserve">CRUD з деревом і перевіркою циклів, імпорт карти регістрів</t>
  </si>
  <si>
    <t xml:space="preserve">B2</t>
  </si>
  <si>
    <t xml:space="preserve">F2 ПЗ шлюзу Modbus і MQTT</t>
  </si>
  <si>
    <t xml:space="preserve">два протоколи, імпульсні входи, QoS 1, невідомі реалізації Modbus</t>
  </si>
  <si>
    <t xml:space="preserve">B3</t>
  </si>
  <si>
    <t xml:space="preserve">буфер, ідемпотентне дозавантаження, статуси якості, ключова невизначеність</t>
  </si>
  <si>
    <t xml:space="preserve">B4</t>
  </si>
  <si>
    <t xml:space="preserve">чотири правила якості, перехід через нуль, різниця накопичувальних показів</t>
  </si>
  <si>
    <t xml:space="preserve">B5</t>
  </si>
  <si>
    <t xml:space="preserve">медіана і MAD по 96 слотах, перерахунок за розкладом</t>
  </si>
  <si>
    <t xml:space="preserve">B6</t>
  </si>
  <si>
    <t xml:space="preserve">правило 4 інтервалів, нічне навантаження, налаштування порогу на розмічених даних</t>
  </si>
  <si>
    <t xml:space="preserve">B7</t>
  </si>
  <si>
    <t xml:space="preserve">три канали, ескалація, оцінка перевитрати в кВт·год і EUR</t>
  </si>
  <si>
    <t xml:space="preserve">B8</t>
  </si>
  <si>
    <t xml:space="preserve">життєвий цикл інциденту, довідник причин, підтвердження повернення до бази</t>
  </si>
  <si>
    <t xml:space="preserve">B9</t>
  </si>
  <si>
    <t xml:space="preserve">профіль доби, факт і база, топ 5 споживачів, продуктивність 2 с</t>
  </si>
  <si>
    <t xml:space="preserve">B10</t>
  </si>
  <si>
    <t xml:space="preserve">F10 Імпорт рахунку і звірка</t>
  </si>
  <si>
    <t xml:space="preserve">формат CSV двох постачальників, звірка з лічильником вводу, межі розрахункового періоду</t>
  </si>
  <si>
    <t xml:space="preserve">B11</t>
  </si>
  <si>
    <t xml:space="preserve">PDF і CSV, RBAC, MFA для адміністраторів</t>
  </si>
  <si>
    <t xml:space="preserve">B12</t>
  </si>
  <si>
    <t xml:space="preserve">NFR1 і NFR4: затримка і навантаження</t>
  </si>
  <si>
    <t xml:space="preserve">сценарій k6 і панелі затримки, без нової функціональності</t>
  </si>
  <si>
    <t xml:space="preserve">Спринт</t>
  </si>
  <si>
    <t xml:space="preserve">Velocity, SP</t>
  </si>
  <si>
    <t xml:space="preserve">Сценарій</t>
  </si>
  <si>
    <t xml:space="preserve">Backlog / v</t>
  </si>
  <si>
    <t xml:space="preserve">Спринтів</t>
  </si>
  <si>
    <t xml:space="preserve">Тижні</t>
  </si>
  <si>
    <t xml:space="preserve">Fast: max</t>
  </si>
  <si>
    <t xml:space="preserve">Central: медіана</t>
  </si>
  <si>
    <t xml:space="preserve">Slow: min</t>
  </si>
  <si>
    <t xml:space="preserve">Повна тривалість</t>
  </si>
  <si>
    <t xml:space="preserve">До спринтів (1.1, 1.2), роб. днів</t>
  </si>
  <si>
    <t xml:space="preserve">Спринти, днів</t>
  </si>
  <si>
    <t xml:space="preserve">Після FC, днів</t>
  </si>
  <si>
    <t xml:space="preserve">Тижнів</t>
  </si>
  <si>
    <t xml:space="preserve">Fast</t>
  </si>
  <si>
    <t xml:space="preserve">Central</t>
  </si>
  <si>
    <t xml:space="preserve">Slow</t>
  </si>
  <si>
    <t xml:space="preserve">Актор</t>
  </si>
  <si>
    <t xml:space="preserve">Тип S/A/C</t>
  </si>
  <si>
    <t xml:space="preserve">Правило</t>
  </si>
  <si>
    <t xml:space="preserve">Вага</t>
  </si>
  <si>
    <t xml:space="preserve">SMS-шлюз (REST API)</t>
  </si>
  <si>
    <t xml:space="preserve">S</t>
  </si>
  <si>
    <t xml:space="preserve">системний API</t>
  </si>
  <si>
    <t xml:space="preserve">Сервіс транзакційної пошти (REST API)</t>
  </si>
  <si>
    <t xml:space="preserve">Bot API месенджера</t>
  </si>
  <si>
    <t xml:space="preserve">Шлюз з лічильниками (Modbus RTU/TCP, MQTT 5)</t>
  </si>
  <si>
    <t xml:space="preserve">A</t>
  </si>
  <si>
    <t xml:space="preserve">взаємодія через протокол</t>
  </si>
  <si>
    <t xml:space="preserve">Енергоменеджер або власник (адміністративна роль будівлі)</t>
  </si>
  <si>
    <t xml:space="preserve">C</t>
  </si>
  <si>
    <t xml:space="preserve">людина через GUI</t>
  </si>
  <si>
    <t xml:space="preserve">Технік служби експлуатації</t>
  </si>
  <si>
    <t xml:space="preserve">Use case</t>
  </si>
  <si>
    <t xml:space="preserve">Транзакцій</t>
  </si>
  <si>
    <t xml:space="preserve">Функція</t>
  </si>
  <si>
    <t xml:space="preserve">UC1 Зареєструвати будівлю і ієрархію лічильників</t>
  </si>
  <si>
    <t xml:space="preserve">F1</t>
  </si>
  <si>
    <t xml:space="preserve">UC2 Налаштувати шлюз і розклад опитування</t>
  </si>
  <si>
    <t xml:space="preserve">F2</t>
  </si>
  <si>
    <t xml:space="preserve">UC3 Передати пакет показів</t>
  </si>
  <si>
    <t xml:space="preserve">UC4 Дозавантажити буфер після обриву зв'язку</t>
  </si>
  <si>
    <t xml:space="preserve">F3</t>
  </si>
  <si>
    <t xml:space="preserve">UC5 Перевірити якість показу</t>
  </si>
  <si>
    <t xml:space="preserve">F4</t>
  </si>
  <si>
    <t xml:space="preserve">UC6 Перерахувати базову лінію</t>
  </si>
  <si>
    <t xml:space="preserve">F5</t>
  </si>
  <si>
    <t xml:space="preserve">UC7 Виявити аномалію і оцінити перевитрату</t>
  </si>
  <si>
    <t xml:space="preserve">F6</t>
  </si>
  <si>
    <t xml:space="preserve">UC8 Надіслати сповіщення з ескалацією</t>
  </si>
  <si>
    <t xml:space="preserve">F7</t>
  </si>
  <si>
    <t xml:space="preserve">UC9 Опрацювати інцидент до повернення до бази</t>
  </si>
  <si>
    <t xml:space="preserve">F8</t>
  </si>
  <si>
    <t xml:space="preserve">UC10 Переглянути дашборд будівлі</t>
  </si>
  <si>
    <t xml:space="preserve">F9</t>
  </si>
  <si>
    <t xml:space="preserve">UC11 Імпортувати рахунок і звірити з вводом</t>
  </si>
  <si>
    <t xml:space="preserve">F10</t>
  </si>
  <si>
    <t xml:space="preserve">UC12 Сформувати і надіслати звіт орендарю</t>
  </si>
  <si>
    <t xml:space="preserve">F11</t>
  </si>
  <si>
    <t xml:space="preserve">UC13 Призначити роль доступу</t>
  </si>
  <si>
    <t xml:space="preserve">F11, NFR5</t>
  </si>
  <si>
    <t xml:space="preserve">UC14 Увійти з MFA</t>
  </si>
  <si>
    <t xml:space="preserve">NFR5</t>
  </si>
  <si>
    <t xml:space="preserve">UC15 Переглянути стан шлюзів і якість даних</t>
  </si>
  <si>
    <t xml:space="preserve">F3, F4</t>
  </si>
  <si>
    <t xml:space="preserve">Компонент</t>
  </si>
  <si>
    <t xml:space="preserve">Кількість</t>
  </si>
  <si>
    <t xml:space="preserve">Результат</t>
  </si>
  <si>
    <t xml:space="preserve">Прості актори</t>
  </si>
  <si>
    <t xml:space="preserve">Середні актори</t>
  </si>
  <si>
    <t xml:space="preserve">Складні актори</t>
  </si>
  <si>
    <t xml:space="preserve">UAW</t>
  </si>
  <si>
    <t xml:space="preserve">Прості UC</t>
  </si>
  <si>
    <t xml:space="preserve">Середні UC</t>
  </si>
  <si>
    <t xml:space="preserve">Складні UC</t>
  </si>
  <si>
    <t xml:space="preserve">UUCW</t>
  </si>
  <si>
    <t xml:space="preserve">UUCP</t>
  </si>
  <si>
    <t xml:space="preserve">TCF × ECF</t>
  </si>
  <si>
    <t xml:space="preserve">UCP</t>
  </si>
  <si>
    <t xml:space="preserve">PF, люд.-год/UCP</t>
  </si>
  <si>
    <t xml:space="preserve">Effort, люд.-год</t>
  </si>
  <si>
    <t xml:space="preserve">Effort при PF −20%</t>
  </si>
  <si>
    <t xml:space="preserve">Effort при PF +20%</t>
  </si>
  <si>
    <t xml:space="preserve">Частка в WBS</t>
  </si>
  <si>
    <t xml:space="preserve">Effort, год</t>
  </si>
  <si>
    <t xml:space="preserve">Тижнів, PF 22</t>
  </si>
  <si>
    <t xml:space="preserve">Тижнів, PF −20%</t>
  </si>
  <si>
    <t xml:space="preserve">Тижнів, PF +20%</t>
  </si>
  <si>
    <t xml:space="preserve">Пул розробників</t>
  </si>
  <si>
    <t xml:space="preserve">Механічно: effort / 105</t>
  </si>
  <si>
    <t xml:space="preserve">Вузьке місце, тижнів</t>
  </si>
  <si>
    <t xml:space="preserve">Строк з урахуванням завантаження</t>
  </si>
  <si>
    <t xml:space="preserve">Год у WBS (E)</t>
  </si>
  <si>
    <t xml:space="preserve">Ємність за baseline, год</t>
  </si>
  <si>
    <t xml:space="preserve">Завантаження</t>
  </si>
  <si>
    <t xml:space="preserve">Команда</t>
  </si>
  <si>
    <t xml:space="preserve">Віха</t>
  </si>
  <si>
    <t xml:space="preserve">День (E)</t>
  </si>
  <si>
    <t xml:space="preserve">Дата</t>
  </si>
  <si>
    <t xml:space="preserve">Scope freeze</t>
  </si>
  <si>
    <t xml:space="preserve">Architecture spike</t>
  </si>
  <si>
    <t xml:space="preserve">Feature complete</t>
  </si>
  <si>
    <t xml:space="preserve">Stabilization</t>
  </si>
  <si>
    <t xml:space="preserve">Release readiness</t>
  </si>
  <si>
    <t xml:space="preserve">Baseline (P80, з contingency)</t>
  </si>
  <si>
    <t xml:space="preserve">Межа з management reserve</t>
  </si>
  <si>
    <t xml:space="preserve">Метод</t>
  </si>
  <si>
    <t xml:space="preserve">Розмір</t>
  </si>
  <si>
    <t xml:space="preserve">Тижнів: низ</t>
  </si>
  <si>
    <t xml:space="preserve">Тижнів: центр</t>
  </si>
  <si>
    <t xml:space="preserve">Тижнів: верх</t>
  </si>
  <si>
    <t xml:space="preserve">PERT/WBS</t>
  </si>
  <si>
    <t xml:space="preserve">SP/velocity</t>
  </si>
  <si>
    <t xml:space="preserve">не переводиться</t>
  </si>
  <si>
    <t xml:space="preserve">UCP/parametric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</si>
</sst>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0.000"/>
    <numFmt numFmtId="167" formatCode="0.00"/>
    <numFmt numFmtId="168" formatCode="0.0"/>
    <numFmt numFmtId="169" formatCode="0"/>
    <numFmt numFmtId="170" formatCode="dd/mm/yy"/>
    <numFmt numFmtId="171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2410C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CE8F7"/>
        <bgColor rgb="FFCCFFFF"/>
      </patternFill>
    </fill>
    <fill>
      <patternFill patternType="solid">
        <fgColor rgb="FFFFF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9890"/>
      </left>
      <right style="thin">
        <color rgb="FF9A9890"/>
      </right>
      <top style="thin">
        <color rgb="FF9A9890"/>
      </top>
      <bottom style="thin">
        <color rgb="FF9A989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0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1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1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6"/>
      <rgbColor rgb="FFDCE8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A9890"/>
      <rgbColor rgb="FF003366"/>
      <rgbColor rgb="FF339966"/>
      <rgbColor rgb="FF003300"/>
      <rgbColor rgb="FF333300"/>
      <rgbColor rgb="FFC241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5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3" t="n">
        <v>46328</v>
      </c>
      <c r="D2" s="2" t="s">
        <v>8</v>
      </c>
      <c r="E2" s="2" t="s">
        <v>9</v>
      </c>
      <c r="F2" s="2" t="s">
        <v>10</v>
      </c>
    </row>
    <row r="3" customFormat="false" ht="15" hidden="false" customHeight="false" outlineLevel="0" collapsed="false">
      <c r="A3" s="2" t="s">
        <v>11</v>
      </c>
      <c r="B3" s="2" t="s">
        <v>12</v>
      </c>
      <c r="C3" s="4" t="n">
        <v>8</v>
      </c>
      <c r="D3" s="2" t="s">
        <v>13</v>
      </c>
      <c r="E3" s="2" t="s">
        <v>9</v>
      </c>
      <c r="F3" s="2" t="s">
        <v>14</v>
      </c>
    </row>
    <row r="4" customFormat="false" ht="23.85" hidden="false" customHeight="false" outlineLevel="0" collapsed="false">
      <c r="A4" s="2" t="s">
        <v>15</v>
      </c>
      <c r="B4" s="2" t="s">
        <v>16</v>
      </c>
      <c r="C4" s="4" t="n">
        <v>0.7</v>
      </c>
      <c r="D4" s="2" t="s">
        <v>17</v>
      </c>
      <c r="E4" s="2" t="s">
        <v>9</v>
      </c>
      <c r="F4" s="2" t="s">
        <v>18</v>
      </c>
    </row>
    <row r="5" customFormat="false" ht="15" hidden="false" customHeight="false" outlineLevel="0" collapsed="false">
      <c r="A5" s="2" t="s">
        <v>19</v>
      </c>
      <c r="B5" s="2" t="s">
        <v>20</v>
      </c>
      <c r="C5" s="4" t="n">
        <v>5</v>
      </c>
      <c r="D5" s="2" t="s">
        <v>21</v>
      </c>
      <c r="E5" s="2" t="s">
        <v>9</v>
      </c>
      <c r="F5" s="2"/>
    </row>
    <row r="6" customFormat="false" ht="15" hidden="false" customHeight="false" outlineLevel="0" collapsed="false">
      <c r="A6" s="2" t="s">
        <v>22</v>
      </c>
      <c r="B6" s="2" t="s">
        <v>23</v>
      </c>
      <c r="C6" s="5" t="n">
        <f aca="false">NORMSINV(0.8)</f>
        <v>0.841621233572914</v>
      </c>
      <c r="D6" s="2"/>
      <c r="E6" s="2" t="s">
        <v>24</v>
      </c>
      <c r="F6" s="2" t="s">
        <v>25</v>
      </c>
    </row>
    <row r="7" customFormat="false" ht="15" hidden="false" customHeight="false" outlineLevel="0" collapsed="false">
      <c r="A7" s="2" t="s">
        <v>26</v>
      </c>
      <c r="B7" s="2" t="s">
        <v>27</v>
      </c>
      <c r="C7" s="4" t="n">
        <v>116</v>
      </c>
      <c r="D7" s="2" t="s">
        <v>28</v>
      </c>
      <c r="E7" s="2" t="s">
        <v>24</v>
      </c>
      <c r="F7" s="2" t="s">
        <v>29</v>
      </c>
    </row>
    <row r="8" customFormat="false" ht="15" hidden="false" customHeight="false" outlineLevel="0" collapsed="false">
      <c r="A8" s="2" t="s">
        <v>30</v>
      </c>
      <c r="B8" s="2" t="s">
        <v>31</v>
      </c>
      <c r="C8" s="4" t="n">
        <v>2</v>
      </c>
      <c r="D8" s="2" t="s">
        <v>32</v>
      </c>
      <c r="E8" s="2" t="s">
        <v>24</v>
      </c>
      <c r="F8" s="2" t="s">
        <v>33</v>
      </c>
    </row>
    <row r="9" customFormat="false" ht="15" hidden="false" customHeight="false" outlineLevel="0" collapsed="false">
      <c r="A9" s="2" t="s">
        <v>34</v>
      </c>
      <c r="B9" s="2" t="s">
        <v>35</v>
      </c>
      <c r="C9" s="4" t="n">
        <v>0.9</v>
      </c>
      <c r="D9" s="2"/>
      <c r="E9" s="2" t="s">
        <v>24</v>
      </c>
      <c r="F9" s="2" t="s">
        <v>29</v>
      </c>
    </row>
    <row r="10" customFormat="false" ht="15" hidden="false" customHeight="false" outlineLevel="0" collapsed="false">
      <c r="A10" s="2" t="s">
        <v>36</v>
      </c>
      <c r="B10" s="2" t="s">
        <v>37</v>
      </c>
      <c r="C10" s="4" t="n">
        <v>0.9</v>
      </c>
      <c r="D10" s="2"/>
      <c r="E10" s="2" t="s">
        <v>24</v>
      </c>
      <c r="F10" s="2" t="s">
        <v>29</v>
      </c>
    </row>
    <row r="11" customFormat="false" ht="15" hidden="false" customHeight="false" outlineLevel="0" collapsed="false">
      <c r="A11" s="2" t="s">
        <v>38</v>
      </c>
      <c r="B11" s="2" t="s">
        <v>39</v>
      </c>
      <c r="C11" s="4" t="n">
        <v>22</v>
      </c>
      <c r="D11" s="2" t="s">
        <v>40</v>
      </c>
      <c r="E11" s="2" t="s">
        <v>24</v>
      </c>
      <c r="F11" s="2" t="s">
        <v>29</v>
      </c>
    </row>
    <row r="12" customFormat="false" ht="15" hidden="false" customHeight="false" outlineLevel="0" collapsed="false">
      <c r="A12" s="2" t="s">
        <v>41</v>
      </c>
      <c r="B12" s="2" t="s">
        <v>42</v>
      </c>
      <c r="C12" s="4" t="n">
        <v>0.85</v>
      </c>
      <c r="D12" s="2" t="s">
        <v>17</v>
      </c>
      <c r="E12" s="2" t="s">
        <v>9</v>
      </c>
      <c r="F12" s="2" t="s">
        <v>43</v>
      </c>
    </row>
    <row r="13" customFormat="false" ht="15" hidden="false" customHeight="false" outlineLevel="0" collapsed="false">
      <c r="A13" s="2" t="s">
        <v>44</v>
      </c>
      <c r="B13" s="2" t="s">
        <v>45</v>
      </c>
      <c r="C13" s="4" t="n">
        <v>15</v>
      </c>
      <c r="D13" s="2" t="s">
        <v>46</v>
      </c>
      <c r="E13" s="2" t="s">
        <v>9</v>
      </c>
      <c r="F13" s="2" t="s">
        <v>47</v>
      </c>
    </row>
    <row r="14" customFormat="false" ht="15" hidden="false" customHeight="false" outlineLevel="0" collapsed="false">
      <c r="A14" s="2" t="s">
        <v>48</v>
      </c>
      <c r="B14" s="2" t="s">
        <v>49</v>
      </c>
      <c r="C14" s="6" t="n">
        <v>126.23</v>
      </c>
      <c r="D14" s="2" t="s">
        <v>46</v>
      </c>
      <c r="E14" s="2" t="s">
        <v>50</v>
      </c>
      <c r="F14" s="2" t="s">
        <v>51</v>
      </c>
    </row>
    <row r="15" customFormat="false" ht="15" hidden="false" customHeight="false" outlineLevel="0" collapsed="false">
      <c r="A15" s="2" t="s">
        <v>52</v>
      </c>
      <c r="B15" s="2" t="s">
        <v>53</v>
      </c>
      <c r="C15" s="6" t="n">
        <v>131.4</v>
      </c>
      <c r="D15" s="2" t="s">
        <v>46</v>
      </c>
      <c r="E15" s="2" t="s">
        <v>50</v>
      </c>
      <c r="F15" s="2" t="s">
        <v>51</v>
      </c>
    </row>
    <row r="17" customFormat="false" ht="15" hidden="false" customHeight="false" outlineLevel="0" collapsed="false">
      <c r="A17" s="1" t="s">
        <v>54</v>
      </c>
    </row>
    <row r="18" customFormat="false" ht="15" hidden="false" customHeight="false" outlineLevel="0" collapsed="false">
      <c r="A18" s="3" t="n">
        <v>46387</v>
      </c>
      <c r="B18" s="0" t="s">
        <v>55</v>
      </c>
    </row>
    <row r="19" customFormat="false" ht="15" hidden="false" customHeight="false" outlineLevel="0" collapsed="false">
      <c r="A19" s="3" t="n">
        <v>46388</v>
      </c>
    </row>
    <row r="21" customFormat="false" ht="15" hidden="false" customHeight="false" outlineLevel="0" collapsed="false">
      <c r="A21" s="1" t="s">
        <v>56</v>
      </c>
      <c r="B21" s="1" t="s">
        <v>57</v>
      </c>
      <c r="C21" s="1" t="s">
        <v>58</v>
      </c>
      <c r="D21" s="1" t="s">
        <v>59</v>
      </c>
      <c r="E21" s="1" t="s">
        <v>60</v>
      </c>
    </row>
    <row r="22" customFormat="false" ht="35.05" hidden="false" customHeight="false" outlineLevel="0" collapsed="false">
      <c r="A22" s="2" t="s">
        <v>61</v>
      </c>
      <c r="B22" s="2" t="s">
        <v>62</v>
      </c>
      <c r="C22" s="4" t="n">
        <v>0.5</v>
      </c>
      <c r="D22" s="7" t="n">
        <f aca="false">C22*p2_hours*p2_focus</f>
        <v>2.8</v>
      </c>
      <c r="E22" s="8" t="n">
        <f aca="false">D22*p2_days_week</f>
        <v>14</v>
      </c>
    </row>
    <row r="23" customFormat="false" ht="23.85" hidden="false" customHeight="false" outlineLevel="0" collapsed="false">
      <c r="A23" s="2" t="s">
        <v>63</v>
      </c>
      <c r="B23" s="2" t="s">
        <v>64</v>
      </c>
      <c r="C23" s="4" t="n">
        <v>1</v>
      </c>
      <c r="D23" s="7" t="n">
        <f aca="false">C23*p2_hours*p2_focus</f>
        <v>5.6</v>
      </c>
      <c r="E23" s="8" t="n">
        <f aca="false">D23*p2_days_week</f>
        <v>28</v>
      </c>
    </row>
    <row r="24" customFormat="false" ht="23.85" hidden="false" customHeight="false" outlineLevel="0" collapsed="false">
      <c r="A24" s="2" t="s">
        <v>65</v>
      </c>
      <c r="B24" s="2" t="s">
        <v>66</v>
      </c>
      <c r="C24" s="4" t="n">
        <v>1</v>
      </c>
      <c r="D24" s="7" t="n">
        <f aca="false">C24*p2_hours*p2_focus</f>
        <v>5.6</v>
      </c>
      <c r="E24" s="8" t="n">
        <f aca="false">D24*p2_days_week</f>
        <v>28</v>
      </c>
    </row>
    <row r="25" customFormat="false" ht="23.85" hidden="false" customHeight="false" outlineLevel="0" collapsed="false">
      <c r="A25" s="2" t="s">
        <v>67</v>
      </c>
      <c r="B25" s="2" t="s">
        <v>68</v>
      </c>
      <c r="C25" s="4" t="n">
        <v>0.75</v>
      </c>
      <c r="D25" s="7" t="n">
        <f aca="false">C25*p2_hours*p2_focus</f>
        <v>4.2</v>
      </c>
      <c r="E25" s="8" t="n">
        <f aca="false">D25*p2_days_week</f>
        <v>21</v>
      </c>
    </row>
    <row r="26" customFormat="false" ht="23.85" hidden="false" customHeight="false" outlineLevel="0" collapsed="false">
      <c r="A26" s="2" t="s">
        <v>69</v>
      </c>
      <c r="B26" s="2" t="s">
        <v>70</v>
      </c>
      <c r="C26" s="4" t="n">
        <v>0.5</v>
      </c>
      <c r="D26" s="7" t="n">
        <f aca="false">C26*p2_hours*p2_focus</f>
        <v>2.8</v>
      </c>
      <c r="E26" s="8" t="n">
        <f aca="false">D26*p2_days_week</f>
        <v>14</v>
      </c>
    </row>
    <row r="27" customFormat="false" ht="15" hidden="false" customHeight="false" outlineLevel="0" collapsed="false">
      <c r="A27" s="2" t="s">
        <v>71</v>
      </c>
      <c r="B27" s="2"/>
      <c r="C27" s="6" t="n">
        <f aca="false">SUM(C22:C26)</f>
        <v>3.75</v>
      </c>
      <c r="D27" s="7" t="n">
        <f aca="false">SUM(D22:D26)</f>
        <v>21</v>
      </c>
      <c r="E27" s="8" t="n">
        <f aca="false">SUM(E22:E26)</f>
        <v>105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60"/>
    <col collapsed="false" customWidth="true" hidden="false" outlineLevel="0" max="5" min="5" style="0" width="44"/>
  </cols>
  <sheetData>
    <row r="1" customFormat="false" ht="15" hidden="false" customHeight="false" outlineLevel="0" collapsed="false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</row>
    <row r="2" customFormat="false" ht="15" hidden="false" customHeight="false" outlineLevel="0" collapsed="false">
      <c r="A2" s="2" t="s">
        <v>77</v>
      </c>
      <c r="B2" s="2" t="s">
        <v>78</v>
      </c>
      <c r="C2" s="2" t="s">
        <v>79</v>
      </c>
      <c r="D2" s="2" t="s">
        <v>80</v>
      </c>
      <c r="E2" s="2" t="s">
        <v>81</v>
      </c>
    </row>
    <row r="3" customFormat="false" ht="23.85" hidden="false" customHeight="false" outlineLevel="0" collapsed="false">
      <c r="A3" s="2" t="s">
        <v>82</v>
      </c>
      <c r="B3" s="2" t="s">
        <v>83</v>
      </c>
      <c r="C3" s="2" t="s">
        <v>79</v>
      </c>
      <c r="D3" s="2" t="s">
        <v>84</v>
      </c>
      <c r="E3" s="2" t="s">
        <v>85</v>
      </c>
    </row>
    <row r="4" customFormat="false" ht="15" hidden="false" customHeight="false" outlineLevel="0" collapsed="false">
      <c r="A4" s="2" t="s">
        <v>86</v>
      </c>
      <c r="B4" s="2" t="s">
        <v>87</v>
      </c>
      <c r="C4" s="2" t="s">
        <v>88</v>
      </c>
      <c r="D4" s="2" t="s">
        <v>89</v>
      </c>
      <c r="E4" s="2" t="s">
        <v>90</v>
      </c>
    </row>
    <row r="5" customFormat="false" ht="23.85" hidden="false" customHeight="false" outlineLevel="0" collapsed="false">
      <c r="A5" s="2" t="s">
        <v>91</v>
      </c>
      <c r="B5" s="2" t="s">
        <v>92</v>
      </c>
      <c r="C5" s="2" t="s">
        <v>88</v>
      </c>
      <c r="D5" s="2" t="s">
        <v>93</v>
      </c>
      <c r="E5" s="2" t="s">
        <v>94</v>
      </c>
    </row>
    <row r="6" customFormat="false" ht="15" hidden="false" customHeight="false" outlineLevel="0" collapsed="false">
      <c r="A6" s="2" t="s">
        <v>95</v>
      </c>
      <c r="B6" s="2" t="s">
        <v>96</v>
      </c>
      <c r="C6" s="2" t="s">
        <v>88</v>
      </c>
      <c r="D6" s="2" t="s">
        <v>97</v>
      </c>
      <c r="E6" s="2" t="s">
        <v>98</v>
      </c>
    </row>
    <row r="7" customFormat="false" ht="23.85" hidden="false" customHeight="false" outlineLevel="0" collapsed="false">
      <c r="A7" s="2" t="s">
        <v>99</v>
      </c>
      <c r="B7" s="2" t="s">
        <v>100</v>
      </c>
      <c r="C7" s="2" t="s">
        <v>88</v>
      </c>
      <c r="D7" s="2" t="s">
        <v>101</v>
      </c>
      <c r="E7" s="2" t="s">
        <v>102</v>
      </c>
    </row>
    <row r="8" customFormat="false" ht="23.85" hidden="false" customHeight="false" outlineLevel="0" collapsed="false">
      <c r="A8" s="2" t="s">
        <v>103</v>
      </c>
      <c r="B8" s="2" t="s">
        <v>104</v>
      </c>
      <c r="C8" s="2" t="s">
        <v>88</v>
      </c>
      <c r="D8" s="2" t="s">
        <v>105</v>
      </c>
      <c r="E8" s="2" t="s">
        <v>106</v>
      </c>
    </row>
    <row r="9" customFormat="false" ht="23.85" hidden="false" customHeight="false" outlineLevel="0" collapsed="false">
      <c r="A9" s="2" t="s">
        <v>107</v>
      </c>
      <c r="B9" s="2" t="s">
        <v>108</v>
      </c>
      <c r="C9" s="2" t="s">
        <v>88</v>
      </c>
      <c r="D9" s="2" t="s">
        <v>109</v>
      </c>
      <c r="E9" s="2" t="s">
        <v>110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6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9" min="5" style="0" width="7"/>
    <col collapsed="false" customWidth="true" hidden="false" outlineLevel="0" max="10" min="10" style="0" width="8"/>
    <col collapsed="false" customWidth="true" hidden="false" outlineLevel="0" max="13" min="11" style="0" width="6"/>
    <col collapsed="false" customWidth="true" hidden="false" outlineLevel="0" max="14" min="14" style="0" width="7"/>
    <col collapsed="false" customWidth="true" hidden="false" outlineLevel="0" max="15" min="15" style="0" width="6"/>
    <col collapsed="false" customWidth="true" hidden="false" outlineLevel="0" max="16" min="16" style="0" width="7"/>
    <col collapsed="false" customWidth="true" hidden="false" outlineLevel="0" max="17" min="17" style="0" width="8"/>
    <col collapsed="false" customWidth="true" hidden="false" outlineLevel="0" max="22" min="18" style="0" width="7"/>
    <col collapsed="false" customWidth="true" hidden="false" outlineLevel="0" max="23" min="23" style="0" width="11"/>
    <col collapsed="false" customWidth="true" hidden="false" outlineLevel="0" max="25" min="24" style="0" width="9"/>
    <col collapsed="false" customWidth="true" hidden="false" outlineLevel="0" max="26" min="26" style="0" width="60"/>
  </cols>
  <sheetData>
    <row r="1" customFormat="false" ht="23.85" hidden="false" customHeight="false" outlineLevel="0" collapsed="false">
      <c r="A1" s="1" t="s">
        <v>72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125</v>
      </c>
      <c r="Q1" s="1" t="s">
        <v>126</v>
      </c>
      <c r="R1" s="1" t="s">
        <v>127</v>
      </c>
      <c r="S1" s="1" t="s">
        <v>128</v>
      </c>
      <c r="T1" s="1" t="s">
        <v>129</v>
      </c>
      <c r="U1" s="1" t="s">
        <v>130</v>
      </c>
      <c r="V1" s="1" t="s">
        <v>131</v>
      </c>
      <c r="W1" s="1" t="s">
        <v>132</v>
      </c>
      <c r="X1" s="1" t="s">
        <v>133</v>
      </c>
      <c r="Y1" s="1" t="s">
        <v>134</v>
      </c>
      <c r="Z1" s="1" t="s">
        <v>135</v>
      </c>
    </row>
    <row r="2" customFormat="false" ht="23.85" hidden="false" customHeight="false" outlineLevel="0" collapsed="false">
      <c r="A2" s="9" t="s">
        <v>136</v>
      </c>
      <c r="B2" s="2" t="s">
        <v>137</v>
      </c>
      <c r="C2" s="2" t="s">
        <v>81</v>
      </c>
      <c r="D2" s="2" t="s">
        <v>61</v>
      </c>
      <c r="E2" s="4" t="n">
        <v>22</v>
      </c>
      <c r="F2" s="4" t="n">
        <v>10</v>
      </c>
      <c r="G2" s="4" t="n">
        <v>10</v>
      </c>
      <c r="H2" s="4" t="n">
        <v>10</v>
      </c>
      <c r="I2" s="4" t="n">
        <v>6</v>
      </c>
      <c r="J2" s="6" t="n">
        <f aca="false">SUM(E2:I2)</f>
        <v>58</v>
      </c>
      <c r="K2" s="4" t="n">
        <v>6</v>
      </c>
      <c r="L2" s="4" t="n">
        <v>8</v>
      </c>
      <c r="M2" s="4" t="n">
        <v>12</v>
      </c>
      <c r="N2" s="7" t="n">
        <f aca="false">(K2+4*L2+M2)/6</f>
        <v>8.33333333333333</v>
      </c>
      <c r="O2" s="7" t="n">
        <f aca="false">(M2-K2)/6</f>
        <v>1</v>
      </c>
      <c r="P2" s="7" t="n">
        <f aca="false">O2^2</f>
        <v>1</v>
      </c>
      <c r="Q2" s="10" t="n">
        <f aca="false">J2*N2/L2</f>
        <v>60.4166666666667</v>
      </c>
      <c r="R2" s="7" t="n">
        <v>0</v>
      </c>
      <c r="S2" s="7" t="n">
        <f aca="false">R2+N2</f>
        <v>8.33333333333333</v>
      </c>
      <c r="T2" s="7" t="n">
        <f aca="false">U2-N2</f>
        <v>0</v>
      </c>
      <c r="U2" s="7" t="n">
        <f aca="false">MIN(proj_end,T3-0)</f>
        <v>8.33333333333332</v>
      </c>
      <c r="V2" s="7" t="n">
        <f aca="false">T2-R2</f>
        <v>0</v>
      </c>
      <c r="W2" s="11" t="str">
        <f aca="false">IF(ABS(V2)&lt;0.001,"так","ні")</f>
        <v>так</v>
      </c>
      <c r="X2" s="12" t="n">
        <f aca="false">WORKDAY(p2_start,ROUNDDOWN(R2,0),p2_holidays)</f>
        <v>46328</v>
      </c>
      <c r="Y2" s="12" t="n">
        <f aca="false">WORKDAY(p2_start,ROUNDUP(S2,0)-1,p2_holidays)</f>
        <v>46338</v>
      </c>
      <c r="Z2" s="2" t="s">
        <v>138</v>
      </c>
    </row>
    <row r="3" customFormat="false" ht="23.85" hidden="false" customHeight="false" outlineLevel="0" collapsed="false">
      <c r="A3" s="9" t="s">
        <v>139</v>
      </c>
      <c r="B3" s="2" t="s">
        <v>140</v>
      </c>
      <c r="C3" s="2" t="s">
        <v>136</v>
      </c>
      <c r="D3" s="2" t="s">
        <v>63</v>
      </c>
      <c r="E3" s="4" t="n">
        <v>8</v>
      </c>
      <c r="F3" s="4" t="n">
        <v>64</v>
      </c>
      <c r="G3" s="4" t="n">
        <v>56</v>
      </c>
      <c r="H3" s="4" t="n">
        <v>12</v>
      </c>
      <c r="I3" s="4" t="n">
        <v>24</v>
      </c>
      <c r="J3" s="6" t="n">
        <f aca="false">SUM(E3:I3)</f>
        <v>164</v>
      </c>
      <c r="K3" s="4" t="n">
        <v>8</v>
      </c>
      <c r="L3" s="4" t="n">
        <v>12</v>
      </c>
      <c r="M3" s="4" t="n">
        <v>24</v>
      </c>
      <c r="N3" s="7" t="n">
        <f aca="false">(K3+4*L3+M3)/6</f>
        <v>13.3333333333333</v>
      </c>
      <c r="O3" s="7" t="n">
        <f aca="false">(M3-K3)/6</f>
        <v>2.66666666666667</v>
      </c>
      <c r="P3" s="7" t="n">
        <f aca="false">O3^2</f>
        <v>7.11111111111111</v>
      </c>
      <c r="Q3" s="10" t="n">
        <f aca="false">J3*N3/L3</f>
        <v>182.222222222222</v>
      </c>
      <c r="R3" s="7" t="n">
        <f aca="false">MAX(0,S2+0)</f>
        <v>8.33333333333333</v>
      </c>
      <c r="S3" s="7" t="n">
        <f aca="false">R3+N3</f>
        <v>21.6666666666667</v>
      </c>
      <c r="T3" s="7" t="n">
        <f aca="false">U3-N3</f>
        <v>8.33333333333332</v>
      </c>
      <c r="U3" s="7" t="n">
        <f aca="false">MIN(proj_end,T4-0,T5-0,T6-0,T16-5+N3)</f>
        <v>21.6666666666667</v>
      </c>
      <c r="V3" s="7" t="n">
        <f aca="false">T3-R3</f>
        <v>0</v>
      </c>
      <c r="W3" s="11" t="str">
        <f aca="false">IF(ABS(V3)&lt;0.001,"так","ні")</f>
        <v>так</v>
      </c>
      <c r="X3" s="12" t="n">
        <f aca="false">WORKDAY(p2_start,ROUNDDOWN(R3,0),p2_holidays)</f>
        <v>46338</v>
      </c>
      <c r="Y3" s="12" t="n">
        <f aca="false">WORKDAY(p2_start,ROUNDUP(S3,0)-1,p2_holidays)</f>
        <v>46357</v>
      </c>
      <c r="Z3" s="2" t="s">
        <v>141</v>
      </c>
    </row>
    <row r="4" customFormat="false" ht="23.85" hidden="false" customHeight="false" outlineLevel="0" collapsed="false">
      <c r="A4" s="2" t="s">
        <v>142</v>
      </c>
      <c r="B4" s="2" t="s">
        <v>143</v>
      </c>
      <c r="C4" s="2" t="s">
        <v>139</v>
      </c>
      <c r="D4" s="2" t="s">
        <v>69</v>
      </c>
      <c r="E4" s="4" t="n">
        <v>0</v>
      </c>
      <c r="F4" s="4" t="n">
        <v>0</v>
      </c>
      <c r="G4" s="4" t="n">
        <v>0</v>
      </c>
      <c r="H4" s="4" t="n">
        <v>4</v>
      </c>
      <c r="I4" s="4" t="n">
        <v>52</v>
      </c>
      <c r="J4" s="6" t="n">
        <f aca="false">SUM(E4:I4)</f>
        <v>56</v>
      </c>
      <c r="K4" s="4" t="n">
        <v>18</v>
      </c>
      <c r="L4" s="4" t="n">
        <v>25</v>
      </c>
      <c r="M4" s="4" t="n">
        <v>35</v>
      </c>
      <c r="N4" s="7" t="n">
        <f aca="false">(K4+4*L4+M4)/6</f>
        <v>25.5</v>
      </c>
      <c r="O4" s="7" t="n">
        <f aca="false">(M4-K4)/6</f>
        <v>2.83333333333333</v>
      </c>
      <c r="P4" s="7" t="n">
        <f aca="false">O4^2</f>
        <v>8.02777777777778</v>
      </c>
      <c r="Q4" s="10" t="n">
        <f aca="false">J4*N4/L4</f>
        <v>57.12</v>
      </c>
      <c r="R4" s="7" t="n">
        <f aca="false">MAX(0,S3+0)</f>
        <v>21.6666666666667</v>
      </c>
      <c r="S4" s="7" t="n">
        <f aca="false">R4+N4</f>
        <v>47.1666666666667</v>
      </c>
      <c r="T4" s="7" t="n">
        <f aca="false">U4-N4</f>
        <v>57.6666666666667</v>
      </c>
      <c r="U4" s="7" t="n">
        <f aca="false">MIN(proj_end,T19-0)</f>
        <v>83.1666666666667</v>
      </c>
      <c r="V4" s="7" t="n">
        <f aca="false">T4-R4</f>
        <v>36</v>
      </c>
      <c r="W4" s="6" t="str">
        <f aca="false">IF(ABS(V4)&lt;0.001,"так","ні")</f>
        <v>ні</v>
      </c>
      <c r="X4" s="12" t="n">
        <f aca="false">WORKDAY(p2_start,ROUNDDOWN(R4,0),p2_holidays)</f>
        <v>46357</v>
      </c>
      <c r="Y4" s="12" t="n">
        <f aca="false">WORKDAY(p2_start,ROUNDUP(S4,0)-1,p2_holidays)</f>
        <v>46395</v>
      </c>
      <c r="Z4" s="2" t="s">
        <v>144</v>
      </c>
    </row>
    <row r="5" customFormat="false" ht="23.85" hidden="false" customHeight="false" outlineLevel="0" collapsed="false">
      <c r="A5" s="9" t="s">
        <v>145</v>
      </c>
      <c r="B5" s="2" t="s">
        <v>146</v>
      </c>
      <c r="C5" s="2" t="s">
        <v>139</v>
      </c>
      <c r="D5" s="2" t="s">
        <v>65</v>
      </c>
      <c r="E5" s="4" t="n">
        <v>8</v>
      </c>
      <c r="F5" s="4" t="n">
        <v>0</v>
      </c>
      <c r="G5" s="4" t="n">
        <v>60</v>
      </c>
      <c r="H5" s="4" t="n">
        <v>16</v>
      </c>
      <c r="I5" s="4" t="n">
        <v>2</v>
      </c>
      <c r="J5" s="6" t="n">
        <f aca="false">SUM(E5:I5)</f>
        <v>86</v>
      </c>
      <c r="K5" s="4" t="n">
        <v>9</v>
      </c>
      <c r="L5" s="4" t="n">
        <v>11</v>
      </c>
      <c r="M5" s="4" t="n">
        <v>15</v>
      </c>
      <c r="N5" s="7" t="n">
        <f aca="false">(K5+4*L5+M5)/6</f>
        <v>11.3333333333333</v>
      </c>
      <c r="O5" s="7" t="n">
        <f aca="false">(M5-K5)/6</f>
        <v>1</v>
      </c>
      <c r="P5" s="7" t="n">
        <f aca="false">O5^2</f>
        <v>1</v>
      </c>
      <c r="Q5" s="10" t="n">
        <f aca="false">J5*N5/L5</f>
        <v>88.6060606060606</v>
      </c>
      <c r="R5" s="7" t="n">
        <f aca="false">MAX(0,S3+0)</f>
        <v>21.6666666666667</v>
      </c>
      <c r="S5" s="7" t="n">
        <f aca="false">R5+N5</f>
        <v>33</v>
      </c>
      <c r="T5" s="7" t="n">
        <f aca="false">U5-N5</f>
        <v>21.6666666666667</v>
      </c>
      <c r="U5" s="7" t="n">
        <f aca="false">MIN(proj_end,T9-0)</f>
        <v>33</v>
      </c>
      <c r="V5" s="7" t="n">
        <f aca="false">T5-R5</f>
        <v>0</v>
      </c>
      <c r="W5" s="11" t="str">
        <f aca="false">IF(ABS(V5)&lt;0.001,"так","ні")</f>
        <v>так</v>
      </c>
      <c r="X5" s="12" t="n">
        <f aca="false">WORKDAY(p2_start,ROUNDDOWN(R5,0),p2_holidays)</f>
        <v>46357</v>
      </c>
      <c r="Y5" s="12" t="n">
        <f aca="false">WORKDAY(p2_start,ROUNDUP(S5,0)-1,p2_holidays)</f>
        <v>46372</v>
      </c>
      <c r="Z5" s="2" t="s">
        <v>147</v>
      </c>
    </row>
    <row r="6" customFormat="false" ht="23.85" hidden="false" customHeight="false" outlineLevel="0" collapsed="false">
      <c r="A6" s="2" t="s">
        <v>148</v>
      </c>
      <c r="B6" s="2" t="s">
        <v>149</v>
      </c>
      <c r="C6" s="2" t="s">
        <v>139</v>
      </c>
      <c r="D6" s="2" t="s">
        <v>63</v>
      </c>
      <c r="E6" s="4" t="n">
        <v>6</v>
      </c>
      <c r="F6" s="4" t="n">
        <v>86</v>
      </c>
      <c r="G6" s="4" t="n">
        <v>0</v>
      </c>
      <c r="H6" s="4" t="n">
        <v>20</v>
      </c>
      <c r="I6" s="4" t="n">
        <v>6</v>
      </c>
      <c r="J6" s="6" t="n">
        <f aca="false">SUM(E6:I6)</f>
        <v>118</v>
      </c>
      <c r="K6" s="4" t="n">
        <v>13</v>
      </c>
      <c r="L6" s="4" t="n">
        <v>16</v>
      </c>
      <c r="M6" s="4" t="n">
        <v>25</v>
      </c>
      <c r="N6" s="7" t="n">
        <f aca="false">(K6+4*L6+M6)/6</f>
        <v>17</v>
      </c>
      <c r="O6" s="7" t="n">
        <f aca="false">(M6-K6)/6</f>
        <v>2</v>
      </c>
      <c r="P6" s="7" t="n">
        <f aca="false">O6^2</f>
        <v>4</v>
      </c>
      <c r="Q6" s="10" t="n">
        <f aca="false">J6*N6/L6</f>
        <v>125.375</v>
      </c>
      <c r="R6" s="7" t="n">
        <f aca="false">MAX(0,S3+0)</f>
        <v>21.6666666666667</v>
      </c>
      <c r="S6" s="7" t="n">
        <f aca="false">R6+N6</f>
        <v>38.6666666666667</v>
      </c>
      <c r="T6" s="7" t="n">
        <f aca="false">U6-N6</f>
        <v>30.6666666666667</v>
      </c>
      <c r="U6" s="7" t="n">
        <f aca="false">MIN(proj_end,T7-0)</f>
        <v>47.6666666666667</v>
      </c>
      <c r="V6" s="7" t="n">
        <f aca="false">T6-R6</f>
        <v>9</v>
      </c>
      <c r="W6" s="6" t="str">
        <f aca="false">IF(ABS(V6)&lt;0.001,"так","ні")</f>
        <v>ні</v>
      </c>
      <c r="X6" s="12" t="n">
        <f aca="false">WORKDAY(p2_start,ROUNDDOWN(R6,0),p2_holidays)</f>
        <v>46357</v>
      </c>
      <c r="Y6" s="12" t="n">
        <f aca="false">WORKDAY(p2_start,ROUNDUP(S6,0)-1,p2_holidays)</f>
        <v>46380</v>
      </c>
      <c r="Z6" s="2" t="s">
        <v>150</v>
      </c>
    </row>
    <row r="7" customFormat="false" ht="23.85" hidden="false" customHeight="false" outlineLevel="0" collapsed="false">
      <c r="A7" s="2" t="s">
        <v>151</v>
      </c>
      <c r="B7" s="2" t="s">
        <v>152</v>
      </c>
      <c r="C7" s="2" t="s">
        <v>148</v>
      </c>
      <c r="D7" s="2" t="s">
        <v>63</v>
      </c>
      <c r="E7" s="4" t="n">
        <v>6</v>
      </c>
      <c r="F7" s="4" t="n">
        <v>72</v>
      </c>
      <c r="G7" s="4" t="n">
        <v>0</v>
      </c>
      <c r="H7" s="4" t="n">
        <v>19</v>
      </c>
      <c r="I7" s="4" t="n">
        <v>4</v>
      </c>
      <c r="J7" s="6" t="n">
        <f aca="false">SUM(E7:I7)</f>
        <v>101</v>
      </c>
      <c r="K7" s="4" t="n">
        <v>11</v>
      </c>
      <c r="L7" s="4" t="n">
        <v>13</v>
      </c>
      <c r="M7" s="4" t="n">
        <v>19</v>
      </c>
      <c r="N7" s="7" t="n">
        <f aca="false">(K7+4*L7+M7)/6</f>
        <v>13.6666666666667</v>
      </c>
      <c r="O7" s="7" t="n">
        <f aca="false">(M7-K7)/6</f>
        <v>1.33333333333333</v>
      </c>
      <c r="P7" s="7" t="n">
        <f aca="false">O7^2</f>
        <v>1.77777777777778</v>
      </c>
      <c r="Q7" s="10" t="n">
        <f aca="false">J7*N7/L7</f>
        <v>106.179487179487</v>
      </c>
      <c r="R7" s="7" t="n">
        <f aca="false">MAX(0,S6+0)</f>
        <v>38.6666666666667</v>
      </c>
      <c r="S7" s="7" t="n">
        <f aca="false">R7+N7</f>
        <v>52.3333333333333</v>
      </c>
      <c r="T7" s="7" t="n">
        <f aca="false">U7-N7</f>
        <v>47.6666666666667</v>
      </c>
      <c r="U7" s="7" t="n">
        <f aca="false">MIN(proj_end,T8-0)</f>
        <v>61.3333333333333</v>
      </c>
      <c r="V7" s="7" t="n">
        <f aca="false">T7-R7</f>
        <v>8.99999999999999</v>
      </c>
      <c r="W7" s="6" t="str">
        <f aca="false">IF(ABS(V7)&lt;0.001,"так","ні")</f>
        <v>ні</v>
      </c>
      <c r="X7" s="12" t="n">
        <f aca="false">WORKDAY(p2_start,ROUNDDOWN(R7,0),p2_holidays)</f>
        <v>46380</v>
      </c>
      <c r="Y7" s="12" t="n">
        <f aca="false">WORKDAY(p2_start,ROUNDUP(S7,0)-1,p2_holidays)</f>
        <v>46402</v>
      </c>
      <c r="Z7" s="2" t="s">
        <v>153</v>
      </c>
    </row>
    <row r="8" customFormat="false" ht="23.85" hidden="false" customHeight="false" outlineLevel="0" collapsed="false">
      <c r="A8" s="2" t="s">
        <v>154</v>
      </c>
      <c r="B8" s="2" t="s">
        <v>155</v>
      </c>
      <c r="C8" s="2" t="s">
        <v>156</v>
      </c>
      <c r="D8" s="2" t="s">
        <v>63</v>
      </c>
      <c r="E8" s="4" t="n">
        <v>6</v>
      </c>
      <c r="F8" s="4" t="n">
        <v>88</v>
      </c>
      <c r="G8" s="4" t="n">
        <v>0</v>
      </c>
      <c r="H8" s="4" t="n">
        <v>28</v>
      </c>
      <c r="I8" s="4" t="n">
        <v>6</v>
      </c>
      <c r="J8" s="6" t="n">
        <f aca="false">SUM(E8:I8)</f>
        <v>128</v>
      </c>
      <c r="K8" s="4" t="n">
        <v>13</v>
      </c>
      <c r="L8" s="4" t="n">
        <v>16</v>
      </c>
      <c r="M8" s="4" t="n">
        <v>31</v>
      </c>
      <c r="N8" s="7" t="n">
        <f aca="false">(K8+4*L8+M8)/6</f>
        <v>18</v>
      </c>
      <c r="O8" s="7" t="n">
        <f aca="false">(M8-K8)/6</f>
        <v>3</v>
      </c>
      <c r="P8" s="7" t="n">
        <f aca="false">O8^2</f>
        <v>9</v>
      </c>
      <c r="Q8" s="10" t="n">
        <f aca="false">J8*N8/L8</f>
        <v>144</v>
      </c>
      <c r="R8" s="7" t="n">
        <f aca="false">MAX(0,S7+0,S16+0)</f>
        <v>52.3333333333333</v>
      </c>
      <c r="S8" s="7" t="n">
        <f aca="false">R8+N8</f>
        <v>70.3333333333333</v>
      </c>
      <c r="T8" s="7" t="n">
        <f aca="false">U8-N8</f>
        <v>61.3333333333333</v>
      </c>
      <c r="U8" s="7" t="n">
        <f aca="false">MIN(proj_end,T14-0,T19-0)</f>
        <v>79.3333333333333</v>
      </c>
      <c r="V8" s="7" t="n">
        <f aca="false">T8-R8</f>
        <v>8.99999999999999</v>
      </c>
      <c r="W8" s="6" t="str">
        <f aca="false">IF(ABS(V8)&lt;0.001,"так","ні")</f>
        <v>ні</v>
      </c>
      <c r="X8" s="12" t="n">
        <f aca="false">WORKDAY(p2_start,ROUNDDOWN(R8,0),p2_holidays)</f>
        <v>46402</v>
      </c>
      <c r="Y8" s="12" t="n">
        <f aca="false">WORKDAY(p2_start,ROUNDUP(S8,0)-1,p2_holidays)</f>
        <v>46428</v>
      </c>
      <c r="Z8" s="2" t="s">
        <v>157</v>
      </c>
    </row>
    <row r="9" customFormat="false" ht="23.85" hidden="false" customHeight="false" outlineLevel="0" collapsed="false">
      <c r="A9" s="9" t="s">
        <v>158</v>
      </c>
      <c r="B9" s="2" t="s">
        <v>92</v>
      </c>
      <c r="C9" s="2" t="s">
        <v>145</v>
      </c>
      <c r="D9" s="2" t="s">
        <v>65</v>
      </c>
      <c r="E9" s="4" t="n">
        <v>8</v>
      </c>
      <c r="F9" s="4" t="n">
        <v>0</v>
      </c>
      <c r="G9" s="4" t="n">
        <v>60</v>
      </c>
      <c r="H9" s="4" t="n">
        <v>13</v>
      </c>
      <c r="I9" s="4" t="n">
        <v>2</v>
      </c>
      <c r="J9" s="6" t="n">
        <f aca="false">SUM(E9:I9)</f>
        <v>83</v>
      </c>
      <c r="K9" s="4" t="n">
        <v>9</v>
      </c>
      <c r="L9" s="4" t="n">
        <v>11</v>
      </c>
      <c r="M9" s="4" t="n">
        <v>16</v>
      </c>
      <c r="N9" s="7" t="n">
        <f aca="false">(K9+4*L9+M9)/6</f>
        <v>11.5</v>
      </c>
      <c r="O9" s="7" t="n">
        <f aca="false">(M9-K9)/6</f>
        <v>1.16666666666667</v>
      </c>
      <c r="P9" s="7" t="n">
        <f aca="false">O9^2</f>
        <v>1.36111111111111</v>
      </c>
      <c r="Q9" s="10" t="n">
        <f aca="false">J9*N9/L9</f>
        <v>86.7727272727273</v>
      </c>
      <c r="R9" s="7" t="n">
        <f aca="false">MAX(0,S5+0)</f>
        <v>33</v>
      </c>
      <c r="S9" s="7" t="n">
        <f aca="false">R9+N9</f>
        <v>44.5</v>
      </c>
      <c r="T9" s="7" t="n">
        <f aca="false">U9-N9</f>
        <v>33</v>
      </c>
      <c r="U9" s="7" t="n">
        <f aca="false">MIN(proj_end,T10-0)</f>
        <v>44.5</v>
      </c>
      <c r="V9" s="7" t="n">
        <f aca="false">T9-R9</f>
        <v>0</v>
      </c>
      <c r="W9" s="11" t="str">
        <f aca="false">IF(ABS(V9)&lt;0.001,"так","ні")</f>
        <v>так</v>
      </c>
      <c r="X9" s="12" t="n">
        <f aca="false">WORKDAY(p2_start,ROUNDDOWN(R9,0),p2_holidays)</f>
        <v>46373</v>
      </c>
      <c r="Y9" s="12" t="n">
        <f aca="false">WORKDAY(p2_start,ROUNDUP(S9,0)-1,p2_holidays)</f>
        <v>46392</v>
      </c>
      <c r="Z9" s="2" t="s">
        <v>159</v>
      </c>
    </row>
    <row r="10" customFormat="false" ht="23.85" hidden="false" customHeight="false" outlineLevel="0" collapsed="false">
      <c r="A10" s="9" t="s">
        <v>160</v>
      </c>
      <c r="B10" s="2" t="s">
        <v>100</v>
      </c>
      <c r="C10" s="2" t="s">
        <v>158</v>
      </c>
      <c r="D10" s="2" t="s">
        <v>65</v>
      </c>
      <c r="E10" s="4" t="n">
        <v>20</v>
      </c>
      <c r="F10" s="4" t="n">
        <v>0</v>
      </c>
      <c r="G10" s="4" t="n">
        <v>88</v>
      </c>
      <c r="H10" s="4" t="n">
        <v>24</v>
      </c>
      <c r="I10" s="4" t="n">
        <v>2</v>
      </c>
      <c r="J10" s="6" t="n">
        <f aca="false">SUM(E10:I10)</f>
        <v>134</v>
      </c>
      <c r="K10" s="4" t="n">
        <v>11</v>
      </c>
      <c r="L10" s="4" t="n">
        <v>16</v>
      </c>
      <c r="M10" s="4" t="n">
        <v>29</v>
      </c>
      <c r="N10" s="7" t="n">
        <f aca="false">(K10+4*L10+M10)/6</f>
        <v>17.3333333333333</v>
      </c>
      <c r="O10" s="7" t="n">
        <f aca="false">(M10-K10)/6</f>
        <v>3</v>
      </c>
      <c r="P10" s="7" t="n">
        <f aca="false">O10^2</f>
        <v>9</v>
      </c>
      <c r="Q10" s="10" t="n">
        <f aca="false">J10*N10/L10</f>
        <v>145.166666666667</v>
      </c>
      <c r="R10" s="7" t="n">
        <f aca="false">MAX(0,S9+0)</f>
        <v>44.5</v>
      </c>
      <c r="S10" s="7" t="n">
        <f aca="false">R10+N10</f>
        <v>61.8333333333333</v>
      </c>
      <c r="T10" s="7" t="n">
        <f aca="false">U10-N10</f>
        <v>44.5</v>
      </c>
      <c r="U10" s="7" t="n">
        <f aca="false">MIN(proj_end,T11-0)</f>
        <v>61.8333333333333</v>
      </c>
      <c r="V10" s="7" t="n">
        <f aca="false">T10-R10</f>
        <v>0</v>
      </c>
      <c r="W10" s="11" t="str">
        <f aca="false">IF(ABS(V10)&lt;0.001,"так","ні")</f>
        <v>так</v>
      </c>
      <c r="X10" s="12" t="n">
        <f aca="false">WORKDAY(p2_start,ROUNDDOWN(R10,0),p2_holidays)</f>
        <v>46392</v>
      </c>
      <c r="Y10" s="12" t="n">
        <f aca="false">WORKDAY(p2_start,ROUNDUP(S10,0)-1,p2_holidays)</f>
        <v>46415</v>
      </c>
      <c r="Z10" s="2" t="s">
        <v>161</v>
      </c>
    </row>
    <row r="11" customFormat="false" ht="23.85" hidden="false" customHeight="false" outlineLevel="0" collapsed="false">
      <c r="A11" s="9" t="s">
        <v>162</v>
      </c>
      <c r="B11" s="2" t="s">
        <v>163</v>
      </c>
      <c r="C11" s="2" t="s">
        <v>160</v>
      </c>
      <c r="D11" s="2" t="s">
        <v>65</v>
      </c>
      <c r="E11" s="4" t="n">
        <v>4</v>
      </c>
      <c r="F11" s="4" t="n">
        <v>0</v>
      </c>
      <c r="G11" s="4" t="n">
        <v>50</v>
      </c>
      <c r="H11" s="4" t="n">
        <v>14</v>
      </c>
      <c r="I11" s="4" t="n">
        <v>4</v>
      </c>
      <c r="J11" s="6" t="n">
        <f aca="false">SUM(E11:I11)</f>
        <v>72</v>
      </c>
      <c r="K11" s="4" t="n">
        <v>7</v>
      </c>
      <c r="L11" s="4" t="n">
        <v>9</v>
      </c>
      <c r="M11" s="4" t="n">
        <v>13</v>
      </c>
      <c r="N11" s="7" t="n">
        <f aca="false">(K11+4*L11+M11)/6</f>
        <v>9.33333333333333</v>
      </c>
      <c r="O11" s="7" t="n">
        <f aca="false">(M11-K11)/6</f>
        <v>1</v>
      </c>
      <c r="P11" s="7" t="n">
        <f aca="false">O11^2</f>
        <v>1</v>
      </c>
      <c r="Q11" s="10" t="n">
        <f aca="false">J11*N11/L11</f>
        <v>74.6666666666667</v>
      </c>
      <c r="R11" s="7" t="n">
        <f aca="false">MAX(0,S10+0)</f>
        <v>61.8333333333333</v>
      </c>
      <c r="S11" s="7" t="n">
        <f aca="false">R11+N11</f>
        <v>71.1666666666667</v>
      </c>
      <c r="T11" s="7" t="n">
        <f aca="false">U11-N11</f>
        <v>61.8333333333333</v>
      </c>
      <c r="U11" s="7" t="n">
        <f aca="false">MIN(proj_end,T12-0)</f>
        <v>71.1666666666667</v>
      </c>
      <c r="V11" s="7" t="n">
        <f aca="false">T11-R11</f>
        <v>0</v>
      </c>
      <c r="W11" s="11" t="str">
        <f aca="false">IF(ABS(V11)&lt;0.001,"так","ні")</f>
        <v>так</v>
      </c>
      <c r="X11" s="12" t="n">
        <f aca="false">WORKDAY(p2_start,ROUNDDOWN(R11,0),p2_holidays)</f>
        <v>46415</v>
      </c>
      <c r="Y11" s="12" t="n">
        <f aca="false">WORKDAY(p2_start,ROUNDUP(S11,0)-1,p2_holidays)</f>
        <v>46429</v>
      </c>
      <c r="Z11" s="2" t="s">
        <v>164</v>
      </c>
    </row>
    <row r="12" customFormat="false" ht="23.85" hidden="false" customHeight="false" outlineLevel="0" collapsed="false">
      <c r="A12" s="9" t="s">
        <v>165</v>
      </c>
      <c r="B12" s="2" t="s">
        <v>166</v>
      </c>
      <c r="C12" s="2" t="s">
        <v>162</v>
      </c>
      <c r="D12" s="2" t="s">
        <v>65</v>
      </c>
      <c r="E12" s="4" t="n">
        <v>8</v>
      </c>
      <c r="F12" s="4" t="n">
        <v>0</v>
      </c>
      <c r="G12" s="4" t="n">
        <v>60</v>
      </c>
      <c r="H12" s="4" t="n">
        <v>18</v>
      </c>
      <c r="I12" s="4" t="n">
        <v>2</v>
      </c>
      <c r="J12" s="6" t="n">
        <f aca="false">SUM(E12:I12)</f>
        <v>88</v>
      </c>
      <c r="K12" s="4" t="n">
        <v>9</v>
      </c>
      <c r="L12" s="4" t="n">
        <v>11</v>
      </c>
      <c r="M12" s="4" t="n">
        <v>15</v>
      </c>
      <c r="N12" s="7" t="n">
        <f aca="false">(K12+4*L12+M12)/6</f>
        <v>11.3333333333333</v>
      </c>
      <c r="O12" s="7" t="n">
        <f aca="false">(M12-K12)/6</f>
        <v>1</v>
      </c>
      <c r="P12" s="7" t="n">
        <f aca="false">O12^2</f>
        <v>1</v>
      </c>
      <c r="Q12" s="10" t="n">
        <f aca="false">J12*N12/L12</f>
        <v>90.6666666666667</v>
      </c>
      <c r="R12" s="7" t="n">
        <f aca="false">MAX(0,S11+0)</f>
        <v>71.1666666666667</v>
      </c>
      <c r="S12" s="7" t="n">
        <f aca="false">R12+N12</f>
        <v>82.5</v>
      </c>
      <c r="T12" s="7" t="n">
        <f aca="false">U12-N12</f>
        <v>71.1666666666667</v>
      </c>
      <c r="U12" s="7" t="n">
        <f aca="false">MIN(proj_end,T13-0)</f>
        <v>82.5</v>
      </c>
      <c r="V12" s="7" t="n">
        <f aca="false">T12-R12</f>
        <v>0</v>
      </c>
      <c r="W12" s="11" t="str">
        <f aca="false">IF(ABS(V12)&lt;0.001,"так","ні")</f>
        <v>так</v>
      </c>
      <c r="X12" s="12" t="n">
        <f aca="false">WORKDAY(p2_start,ROUNDDOWN(R12,0),p2_holidays)</f>
        <v>46429</v>
      </c>
      <c r="Y12" s="12" t="n">
        <f aca="false">WORKDAY(p2_start,ROUNDUP(S12,0)-1,p2_holidays)</f>
        <v>46444</v>
      </c>
      <c r="Z12" s="2" t="s">
        <v>167</v>
      </c>
    </row>
    <row r="13" customFormat="false" ht="15" hidden="false" customHeight="false" outlineLevel="0" collapsed="false">
      <c r="A13" s="9" t="s">
        <v>168</v>
      </c>
      <c r="B13" s="2" t="s">
        <v>169</v>
      </c>
      <c r="C13" s="2" t="s">
        <v>165</v>
      </c>
      <c r="D13" s="2" t="s">
        <v>65</v>
      </c>
      <c r="E13" s="4" t="n">
        <v>10</v>
      </c>
      <c r="F13" s="4" t="n">
        <v>0</v>
      </c>
      <c r="G13" s="4" t="n">
        <v>82</v>
      </c>
      <c r="H13" s="4" t="n">
        <v>22</v>
      </c>
      <c r="I13" s="4" t="n">
        <v>4</v>
      </c>
      <c r="J13" s="6" t="n">
        <f aca="false">SUM(E13:I13)</f>
        <v>118</v>
      </c>
      <c r="K13" s="4" t="n">
        <v>11</v>
      </c>
      <c r="L13" s="4" t="n">
        <v>15</v>
      </c>
      <c r="M13" s="4" t="n">
        <v>23</v>
      </c>
      <c r="N13" s="7" t="n">
        <f aca="false">(K13+4*L13+M13)/6</f>
        <v>15.6666666666667</v>
      </c>
      <c r="O13" s="7" t="n">
        <f aca="false">(M13-K13)/6</f>
        <v>2</v>
      </c>
      <c r="P13" s="7" t="n">
        <f aca="false">O13^2</f>
        <v>4</v>
      </c>
      <c r="Q13" s="10" t="n">
        <f aca="false">J13*N13/L13</f>
        <v>123.244444444444</v>
      </c>
      <c r="R13" s="7" t="n">
        <f aca="false">MAX(0,S12+0)</f>
        <v>82.5</v>
      </c>
      <c r="S13" s="7" t="n">
        <f aca="false">R13+N13</f>
        <v>98.1666666666667</v>
      </c>
      <c r="T13" s="7" t="n">
        <f aca="false">U13-N13</f>
        <v>82.5</v>
      </c>
      <c r="U13" s="7" t="n">
        <f aca="false">MIN(proj_end,T17-0)</f>
        <v>98.1666666666667</v>
      </c>
      <c r="V13" s="7" t="n">
        <f aca="false">T13-R13</f>
        <v>0</v>
      </c>
      <c r="W13" s="11" t="str">
        <f aca="false">IF(ABS(V13)&lt;0.001,"так","ні")</f>
        <v>так</v>
      </c>
      <c r="X13" s="12" t="n">
        <f aca="false">WORKDAY(p2_start,ROUNDDOWN(R13,0),p2_holidays)</f>
        <v>46444</v>
      </c>
      <c r="Y13" s="12" t="n">
        <f aca="false">WORKDAY(p2_start,ROUNDUP(S13,0)-1,p2_holidays)</f>
        <v>46468</v>
      </c>
      <c r="Z13" s="2" t="s">
        <v>170</v>
      </c>
    </row>
    <row r="14" customFormat="false" ht="23.85" hidden="false" customHeight="false" outlineLevel="0" collapsed="false">
      <c r="A14" s="2" t="s">
        <v>171</v>
      </c>
      <c r="B14" s="2" t="s">
        <v>172</v>
      </c>
      <c r="C14" s="2" t="s">
        <v>154</v>
      </c>
      <c r="D14" s="2" t="s">
        <v>63</v>
      </c>
      <c r="E14" s="4" t="n">
        <v>6</v>
      </c>
      <c r="F14" s="4" t="n">
        <v>38</v>
      </c>
      <c r="G14" s="4" t="n">
        <v>0</v>
      </c>
      <c r="H14" s="4" t="n">
        <v>12</v>
      </c>
      <c r="I14" s="4" t="n">
        <v>2</v>
      </c>
      <c r="J14" s="6" t="n">
        <f aca="false">SUM(E14:I14)</f>
        <v>58</v>
      </c>
      <c r="K14" s="4" t="n">
        <v>6</v>
      </c>
      <c r="L14" s="4" t="n">
        <v>7</v>
      </c>
      <c r="M14" s="4" t="n">
        <v>10</v>
      </c>
      <c r="N14" s="7" t="n">
        <f aca="false">(K14+4*L14+M14)/6</f>
        <v>7.33333333333333</v>
      </c>
      <c r="O14" s="7" t="n">
        <f aca="false">(M14-K14)/6</f>
        <v>0.666666666666667</v>
      </c>
      <c r="P14" s="7" t="n">
        <f aca="false">O14^2</f>
        <v>0.444444444444444</v>
      </c>
      <c r="Q14" s="10" t="n">
        <f aca="false">J14*N14/L14</f>
        <v>60.7619047619048</v>
      </c>
      <c r="R14" s="7" t="n">
        <f aca="false">MAX(0,S8+0)</f>
        <v>70.3333333333333</v>
      </c>
      <c r="S14" s="7" t="n">
        <f aca="false">R14+N14</f>
        <v>77.6666666666667</v>
      </c>
      <c r="T14" s="7" t="n">
        <f aca="false">U14-N14</f>
        <v>79.3333333333333</v>
      </c>
      <c r="U14" s="7" t="n">
        <f aca="false">MIN(proj_end,T15-0)</f>
        <v>86.6666666666667</v>
      </c>
      <c r="V14" s="7" t="n">
        <f aca="false">T14-R14</f>
        <v>8.99999999999999</v>
      </c>
      <c r="W14" s="6" t="str">
        <f aca="false">IF(ABS(V14)&lt;0.001,"так","ні")</f>
        <v>ні</v>
      </c>
      <c r="X14" s="12" t="n">
        <f aca="false">WORKDAY(p2_start,ROUNDDOWN(R14,0),p2_holidays)</f>
        <v>46428</v>
      </c>
      <c r="Y14" s="12" t="n">
        <f aca="false">WORKDAY(p2_start,ROUNDUP(S14,0)-1,p2_holidays)</f>
        <v>46437</v>
      </c>
      <c r="Z14" s="2" t="s">
        <v>173</v>
      </c>
    </row>
    <row r="15" customFormat="false" ht="23.85" hidden="false" customHeight="false" outlineLevel="0" collapsed="false">
      <c r="A15" s="2" t="s">
        <v>174</v>
      </c>
      <c r="B15" s="2" t="s">
        <v>175</v>
      </c>
      <c r="C15" s="2" t="s">
        <v>171</v>
      </c>
      <c r="D15" s="2" t="s">
        <v>63</v>
      </c>
      <c r="E15" s="4" t="n">
        <v>6</v>
      </c>
      <c r="F15" s="4" t="n">
        <v>60</v>
      </c>
      <c r="G15" s="4" t="n">
        <v>0</v>
      </c>
      <c r="H15" s="4" t="n">
        <v>18</v>
      </c>
      <c r="I15" s="4" t="n">
        <v>4</v>
      </c>
      <c r="J15" s="6" t="n">
        <f aca="false">SUM(E15:I15)</f>
        <v>88</v>
      </c>
      <c r="K15" s="4" t="n">
        <v>9</v>
      </c>
      <c r="L15" s="4" t="n">
        <v>11</v>
      </c>
      <c r="M15" s="4" t="n">
        <v>16</v>
      </c>
      <c r="N15" s="7" t="n">
        <f aca="false">(K15+4*L15+M15)/6</f>
        <v>11.5</v>
      </c>
      <c r="O15" s="7" t="n">
        <f aca="false">(M15-K15)/6</f>
        <v>1.16666666666667</v>
      </c>
      <c r="P15" s="7" t="n">
        <f aca="false">O15^2</f>
        <v>1.36111111111111</v>
      </c>
      <c r="Q15" s="10" t="n">
        <f aca="false">J15*N15/L15</f>
        <v>92</v>
      </c>
      <c r="R15" s="7" t="n">
        <f aca="false">MAX(0,S14+0)</f>
        <v>77.6666666666667</v>
      </c>
      <c r="S15" s="7" t="n">
        <f aca="false">R15+N15</f>
        <v>89.1666666666667</v>
      </c>
      <c r="T15" s="7" t="n">
        <f aca="false">U15-N15</f>
        <v>86.6666666666667</v>
      </c>
      <c r="U15" s="7" t="n">
        <f aca="false">MIN(proj_end,T17-0)</f>
        <v>98.1666666666667</v>
      </c>
      <c r="V15" s="7" t="n">
        <f aca="false">T15-R15</f>
        <v>8.99999999999999</v>
      </c>
      <c r="W15" s="6" t="str">
        <f aca="false">IF(ABS(V15)&lt;0.001,"так","ні")</f>
        <v>ні</v>
      </c>
      <c r="X15" s="12" t="n">
        <f aca="false">WORKDAY(p2_start,ROUNDDOWN(R15,0),p2_holidays)</f>
        <v>46437</v>
      </c>
      <c r="Y15" s="12" t="n">
        <f aca="false">WORKDAY(p2_start,ROUNDUP(S15,0)-1,p2_holidays)</f>
        <v>46455</v>
      </c>
      <c r="Z15" s="2" t="s">
        <v>176</v>
      </c>
    </row>
    <row r="16" customFormat="false" ht="23.85" hidden="false" customHeight="false" outlineLevel="0" collapsed="false">
      <c r="A16" s="2" t="s">
        <v>177</v>
      </c>
      <c r="B16" s="2" t="s">
        <v>178</v>
      </c>
      <c r="C16" s="2" t="s">
        <v>179</v>
      </c>
      <c r="D16" s="2" t="s">
        <v>67</v>
      </c>
      <c r="E16" s="4" t="n">
        <v>0</v>
      </c>
      <c r="F16" s="4" t="n">
        <v>0</v>
      </c>
      <c r="G16" s="4" t="n">
        <v>0</v>
      </c>
      <c r="H16" s="4" t="n">
        <v>30</v>
      </c>
      <c r="I16" s="4" t="n">
        <v>4</v>
      </c>
      <c r="J16" s="6" t="n">
        <f aca="false">SUM(E16:I16)</f>
        <v>34</v>
      </c>
      <c r="K16" s="4" t="n">
        <v>15</v>
      </c>
      <c r="L16" s="4" t="n">
        <v>22</v>
      </c>
      <c r="M16" s="4" t="n">
        <v>32</v>
      </c>
      <c r="N16" s="7" t="n">
        <f aca="false">(K16+4*L16+M16)/6</f>
        <v>22.5</v>
      </c>
      <c r="O16" s="7" t="n">
        <f aca="false">(M16-K16)/6</f>
        <v>2.83333333333333</v>
      </c>
      <c r="P16" s="7" t="n">
        <f aca="false">O16^2</f>
        <v>8.02777777777778</v>
      </c>
      <c r="Q16" s="10" t="n">
        <f aca="false">J16*N16/L16</f>
        <v>34.7727272727273</v>
      </c>
      <c r="R16" s="7" t="n">
        <f aca="false">MAX(0,R3+5)</f>
        <v>13.3333333333333</v>
      </c>
      <c r="S16" s="7" t="n">
        <f aca="false">R16+N16</f>
        <v>35.8333333333333</v>
      </c>
      <c r="T16" s="7" t="n">
        <f aca="false">U16-N16</f>
        <v>38.8333333333333</v>
      </c>
      <c r="U16" s="7" t="n">
        <f aca="false">MIN(proj_end,T8-0)</f>
        <v>61.3333333333333</v>
      </c>
      <c r="V16" s="7" t="n">
        <f aca="false">T16-R16</f>
        <v>25.5</v>
      </c>
      <c r="W16" s="6" t="str">
        <f aca="false">IF(ABS(V16)&lt;0.001,"так","ні")</f>
        <v>ні</v>
      </c>
      <c r="X16" s="12" t="n">
        <f aca="false">WORKDAY(p2_start,ROUNDDOWN(R16,0),p2_holidays)</f>
        <v>46345</v>
      </c>
      <c r="Y16" s="12" t="n">
        <f aca="false">WORKDAY(p2_start,ROUNDUP(S16,0)-1,p2_holidays)</f>
        <v>46377</v>
      </c>
      <c r="Z16" s="2" t="s">
        <v>180</v>
      </c>
    </row>
    <row r="17" customFormat="false" ht="23.85" hidden="false" customHeight="false" outlineLevel="0" collapsed="false">
      <c r="A17" s="9" t="s">
        <v>181</v>
      </c>
      <c r="B17" s="2" t="s">
        <v>182</v>
      </c>
      <c r="C17" s="2" t="s">
        <v>183</v>
      </c>
      <c r="D17" s="2" t="s">
        <v>67</v>
      </c>
      <c r="E17" s="4" t="n">
        <v>8</v>
      </c>
      <c r="F17" s="4" t="n">
        <v>24</v>
      </c>
      <c r="G17" s="4" t="n">
        <v>24</v>
      </c>
      <c r="H17" s="4" t="n">
        <v>40</v>
      </c>
      <c r="I17" s="4" t="n">
        <v>10</v>
      </c>
      <c r="J17" s="6" t="n">
        <f aca="false">SUM(E17:I17)</f>
        <v>106</v>
      </c>
      <c r="K17" s="4" t="n">
        <v>8</v>
      </c>
      <c r="L17" s="4" t="n">
        <v>10</v>
      </c>
      <c r="M17" s="4" t="n">
        <v>16</v>
      </c>
      <c r="N17" s="7" t="n">
        <f aca="false">(K17+4*L17+M17)/6</f>
        <v>10.6666666666667</v>
      </c>
      <c r="O17" s="7" t="n">
        <f aca="false">(M17-K17)/6</f>
        <v>1.33333333333333</v>
      </c>
      <c r="P17" s="7" t="n">
        <f aca="false">O17^2</f>
        <v>1.77777777777778</v>
      </c>
      <c r="Q17" s="10" t="n">
        <f aca="false">J17*N17/L17</f>
        <v>113.066666666667</v>
      </c>
      <c r="R17" s="7" t="n">
        <f aca="false">MAX(0,S13+0,S15+0)</f>
        <v>98.1666666666667</v>
      </c>
      <c r="S17" s="7" t="n">
        <f aca="false">R17+N17</f>
        <v>108.833333333333</v>
      </c>
      <c r="T17" s="7" t="n">
        <f aca="false">U17-N17</f>
        <v>98.1666666666667</v>
      </c>
      <c r="U17" s="7" t="n">
        <f aca="false">MIN(proj_end,T18-0,T20-0)</f>
        <v>108.833333333333</v>
      </c>
      <c r="V17" s="7" t="n">
        <f aca="false">T17-R17</f>
        <v>0</v>
      </c>
      <c r="W17" s="11" t="str">
        <f aca="false">IF(ABS(V17)&lt;0.001,"так","ні")</f>
        <v>так</v>
      </c>
      <c r="X17" s="12" t="n">
        <f aca="false">WORKDAY(p2_start,ROUNDDOWN(R17,0),p2_holidays)</f>
        <v>46468</v>
      </c>
      <c r="Y17" s="12" t="n">
        <f aca="false">WORKDAY(p2_start,ROUNDUP(S17,0)-1,p2_holidays)</f>
        <v>46482</v>
      </c>
      <c r="Z17" s="2" t="s">
        <v>184</v>
      </c>
    </row>
    <row r="18" customFormat="false" ht="23.85" hidden="false" customHeight="false" outlineLevel="0" collapsed="false">
      <c r="A18" s="9" t="s">
        <v>185</v>
      </c>
      <c r="B18" s="2" t="s">
        <v>186</v>
      </c>
      <c r="C18" s="2" t="s">
        <v>181</v>
      </c>
      <c r="D18" s="2" t="s">
        <v>63</v>
      </c>
      <c r="E18" s="4" t="n">
        <v>4</v>
      </c>
      <c r="F18" s="4" t="n">
        <v>46</v>
      </c>
      <c r="G18" s="4" t="n">
        <v>46</v>
      </c>
      <c r="H18" s="4" t="n">
        <v>30</v>
      </c>
      <c r="I18" s="4" t="n">
        <v>8</v>
      </c>
      <c r="J18" s="6" t="n">
        <f aca="false">SUM(E18:I18)</f>
        <v>134</v>
      </c>
      <c r="K18" s="4" t="n">
        <v>7</v>
      </c>
      <c r="L18" s="4" t="n">
        <v>10</v>
      </c>
      <c r="M18" s="4" t="n">
        <v>20</v>
      </c>
      <c r="N18" s="7" t="n">
        <f aca="false">(K18+4*L18+M18)/6</f>
        <v>11.1666666666667</v>
      </c>
      <c r="O18" s="7" t="n">
        <f aca="false">(M18-K18)/6</f>
        <v>2.16666666666667</v>
      </c>
      <c r="P18" s="7" t="n">
        <f aca="false">O18^2</f>
        <v>4.69444444444444</v>
      </c>
      <c r="Q18" s="10" t="n">
        <f aca="false">J18*N18/L18</f>
        <v>149.633333333333</v>
      </c>
      <c r="R18" s="7" t="n">
        <f aca="false">MAX(0,S17+0)</f>
        <v>108.833333333333</v>
      </c>
      <c r="S18" s="7" t="n">
        <f aca="false">R18+N18</f>
        <v>120</v>
      </c>
      <c r="T18" s="7" t="n">
        <f aca="false">U18-N18</f>
        <v>108.833333333333</v>
      </c>
      <c r="U18" s="7" t="n">
        <f aca="false">MIN(proj_end,T21-0)</f>
        <v>120</v>
      </c>
      <c r="V18" s="7" t="n">
        <f aca="false">T18-R18</f>
        <v>0</v>
      </c>
      <c r="W18" s="11" t="str">
        <f aca="false">IF(ABS(V18)&lt;0.001,"так","ні")</f>
        <v>так</v>
      </c>
      <c r="X18" s="12" t="n">
        <f aca="false">WORKDAY(p2_start,ROUNDDOWN(R18,0),p2_holidays)</f>
        <v>46482</v>
      </c>
      <c r="Y18" s="12" t="n">
        <f aca="false">WORKDAY(p2_start,ROUNDUP(S18,0)-1,p2_holidays)</f>
        <v>46497</v>
      </c>
      <c r="Z18" s="2" t="s">
        <v>187</v>
      </c>
    </row>
    <row r="19" customFormat="false" ht="23.85" hidden="false" customHeight="false" outlineLevel="0" collapsed="false">
      <c r="A19" s="2" t="s">
        <v>188</v>
      </c>
      <c r="B19" s="2" t="s">
        <v>189</v>
      </c>
      <c r="C19" s="2" t="s">
        <v>190</v>
      </c>
      <c r="D19" s="2" t="s">
        <v>69</v>
      </c>
      <c r="E19" s="4" t="n">
        <v>16</v>
      </c>
      <c r="F19" s="4" t="n">
        <v>6</v>
      </c>
      <c r="G19" s="4" t="n">
        <v>0</v>
      </c>
      <c r="H19" s="4" t="n">
        <v>4</v>
      </c>
      <c r="I19" s="4" t="n">
        <v>24</v>
      </c>
      <c r="J19" s="6" t="n">
        <f aca="false">SUM(E19:I19)</f>
        <v>50</v>
      </c>
      <c r="K19" s="4" t="n">
        <v>23</v>
      </c>
      <c r="L19" s="4" t="n">
        <v>25</v>
      </c>
      <c r="M19" s="4" t="n">
        <v>35</v>
      </c>
      <c r="N19" s="7" t="n">
        <f aca="false">(K19+4*L19+M19)/6</f>
        <v>26.3333333333333</v>
      </c>
      <c r="O19" s="7" t="n">
        <f aca="false">(M19-K19)/6</f>
        <v>2</v>
      </c>
      <c r="P19" s="7" t="n">
        <f aca="false">O19^2</f>
        <v>4</v>
      </c>
      <c r="Q19" s="10" t="n">
        <f aca="false">J19*N19/L19</f>
        <v>52.6666666666667</v>
      </c>
      <c r="R19" s="7" t="n">
        <f aca="false">MAX(0,S8+0,S4+0)</f>
        <v>70.3333333333333</v>
      </c>
      <c r="S19" s="7" t="n">
        <f aca="false">R19+N19</f>
        <v>96.6666666666667</v>
      </c>
      <c r="T19" s="7" t="n">
        <f aca="false">U19-N19</f>
        <v>83.1666666666667</v>
      </c>
      <c r="U19" s="7" t="n">
        <f aca="false">MIN(proj_end,T20-0)</f>
        <v>109.5</v>
      </c>
      <c r="V19" s="7" t="n">
        <f aca="false">T19-R19</f>
        <v>12.8333333333333</v>
      </c>
      <c r="W19" s="6" t="str">
        <f aca="false">IF(ABS(V19)&lt;0.001,"так","ні")</f>
        <v>ні</v>
      </c>
      <c r="X19" s="12" t="n">
        <f aca="false">WORKDAY(p2_start,ROUNDDOWN(R19,0),p2_holidays)</f>
        <v>46428</v>
      </c>
      <c r="Y19" s="12" t="n">
        <f aca="false">WORKDAY(p2_start,ROUNDUP(S19,0)-1,p2_holidays)</f>
        <v>46464</v>
      </c>
      <c r="Z19" s="2" t="s">
        <v>191</v>
      </c>
    </row>
    <row r="20" customFormat="false" ht="23.85" hidden="false" customHeight="false" outlineLevel="0" collapsed="false">
      <c r="A20" s="2" t="s">
        <v>192</v>
      </c>
      <c r="B20" s="2" t="s">
        <v>193</v>
      </c>
      <c r="C20" s="2" t="s">
        <v>194</v>
      </c>
      <c r="D20" s="2" t="s">
        <v>61</v>
      </c>
      <c r="E20" s="4" t="n">
        <v>18</v>
      </c>
      <c r="F20" s="4" t="n">
        <v>4</v>
      </c>
      <c r="G20" s="4" t="n">
        <v>6</v>
      </c>
      <c r="H20" s="4" t="n">
        <v>8</v>
      </c>
      <c r="I20" s="4" t="n">
        <v>4</v>
      </c>
      <c r="J20" s="6" t="n">
        <f aca="false">SUM(E20:I20)</f>
        <v>40</v>
      </c>
      <c r="K20" s="4" t="n">
        <v>7</v>
      </c>
      <c r="L20" s="4" t="n">
        <v>10</v>
      </c>
      <c r="M20" s="4" t="n">
        <v>16</v>
      </c>
      <c r="N20" s="7" t="n">
        <f aca="false">(K20+4*L20+M20)/6</f>
        <v>10.5</v>
      </c>
      <c r="O20" s="7" t="n">
        <f aca="false">(M20-K20)/6</f>
        <v>1.5</v>
      </c>
      <c r="P20" s="7" t="n">
        <f aca="false">O20^2</f>
        <v>2.25</v>
      </c>
      <c r="Q20" s="10" t="n">
        <f aca="false">J20*N20/L20</f>
        <v>42</v>
      </c>
      <c r="R20" s="7" t="n">
        <f aca="false">MAX(0,S19+0,S17+0)</f>
        <v>108.833333333333</v>
      </c>
      <c r="S20" s="7" t="n">
        <f aca="false">R20+N20</f>
        <v>119.333333333333</v>
      </c>
      <c r="T20" s="7" t="n">
        <f aca="false">U20-N20</f>
        <v>109.5</v>
      </c>
      <c r="U20" s="7" t="n">
        <f aca="false">MIN(proj_end,T21-0)</f>
        <v>120</v>
      </c>
      <c r="V20" s="7" t="n">
        <f aca="false">T20-R20</f>
        <v>0.666666666666671</v>
      </c>
      <c r="W20" s="6" t="str">
        <f aca="false">IF(ABS(V20)&lt;0.001,"так","ні")</f>
        <v>ні</v>
      </c>
      <c r="X20" s="12" t="n">
        <f aca="false">WORKDAY(p2_start,ROUNDDOWN(R20,0),p2_holidays)</f>
        <v>46482</v>
      </c>
      <c r="Y20" s="12" t="n">
        <f aca="false">WORKDAY(p2_start,ROUNDUP(S20,0)-1,p2_holidays)</f>
        <v>46497</v>
      </c>
      <c r="Z20" s="2" t="s">
        <v>195</v>
      </c>
    </row>
    <row r="21" customFormat="false" ht="23.85" hidden="false" customHeight="false" outlineLevel="0" collapsed="false">
      <c r="A21" s="9" t="s">
        <v>196</v>
      </c>
      <c r="B21" s="2" t="s">
        <v>197</v>
      </c>
      <c r="C21" s="2" t="s">
        <v>198</v>
      </c>
      <c r="D21" s="2" t="s">
        <v>61</v>
      </c>
      <c r="E21" s="4" t="n">
        <v>14</v>
      </c>
      <c r="F21" s="4" t="n">
        <v>4</v>
      </c>
      <c r="G21" s="4" t="n">
        <v>4</v>
      </c>
      <c r="H21" s="4" t="n">
        <v>6</v>
      </c>
      <c r="I21" s="4" t="n">
        <v>14</v>
      </c>
      <c r="J21" s="6" t="n">
        <f aca="false">SUM(E21:I21)</f>
        <v>42</v>
      </c>
      <c r="K21" s="4" t="n">
        <v>4</v>
      </c>
      <c r="L21" s="4" t="n">
        <v>5</v>
      </c>
      <c r="M21" s="4" t="n">
        <v>8</v>
      </c>
      <c r="N21" s="7" t="n">
        <f aca="false">(K21+4*L21+M21)/6</f>
        <v>5.33333333333333</v>
      </c>
      <c r="O21" s="7" t="n">
        <f aca="false">(M21-K21)/6</f>
        <v>0.666666666666667</v>
      </c>
      <c r="P21" s="7" t="n">
        <f aca="false">O21^2</f>
        <v>0.444444444444444</v>
      </c>
      <c r="Q21" s="10" t="n">
        <f aca="false">J21*N21/L21</f>
        <v>44.8</v>
      </c>
      <c r="R21" s="7" t="n">
        <f aca="false">MAX(0,S18+0,S20+0)</f>
        <v>120</v>
      </c>
      <c r="S21" s="7" t="n">
        <f aca="false">R21+N21</f>
        <v>125.333333333333</v>
      </c>
      <c r="T21" s="7" t="n">
        <f aca="false">U21-N21</f>
        <v>120</v>
      </c>
      <c r="U21" s="7" t="n">
        <f aca="false">proj_end</f>
        <v>125.333333333333</v>
      </c>
      <c r="V21" s="7" t="n">
        <f aca="false">T21-R21</f>
        <v>0</v>
      </c>
      <c r="W21" s="11" t="str">
        <f aca="false">IF(ABS(V21)&lt;0.001,"так","ні")</f>
        <v>так</v>
      </c>
      <c r="X21" s="12" t="n">
        <f aca="false">WORKDAY(p2_start,ROUNDDOWN(R21,0),p2_holidays)</f>
        <v>46498</v>
      </c>
      <c r="Y21" s="12" t="n">
        <f aca="false">WORKDAY(p2_start,ROUNDUP(S21,0)-1,p2_holidays)</f>
        <v>46505</v>
      </c>
      <c r="Z21" s="2" t="s">
        <v>199</v>
      </c>
    </row>
    <row r="22" customFormat="false" ht="15" hidden="false" customHeight="false" outlineLevel="0" collapsed="false">
      <c r="N22" s="13"/>
      <c r="O22" s="13"/>
      <c r="P22" s="13"/>
      <c r="Q22" s="14"/>
      <c r="R22" s="13"/>
      <c r="S22" s="13"/>
      <c r="T22" s="13"/>
      <c r="U22" s="13"/>
      <c r="V22" s="13"/>
      <c r="X22" s="15"/>
      <c r="Y22" s="15"/>
    </row>
    <row r="23" customFormat="false" ht="23.85" hidden="false" customHeight="false" outlineLevel="0" collapsed="false">
      <c r="A23" s="2" t="s">
        <v>71</v>
      </c>
      <c r="B23" s="2" t="s">
        <v>200</v>
      </c>
      <c r="C23" s="2"/>
      <c r="D23" s="2"/>
      <c r="E23" s="6" t="n">
        <f aca="false">SUM(E2:E21)</f>
        <v>178</v>
      </c>
      <c r="F23" s="6" t="n">
        <f aca="false">SUM(F2:F21)</f>
        <v>502</v>
      </c>
      <c r="G23" s="6" t="n">
        <f aca="false">SUM(G2:G21)</f>
        <v>546</v>
      </c>
      <c r="H23" s="6" t="n">
        <f aca="false">SUM(H2:H21)</f>
        <v>348</v>
      </c>
      <c r="I23" s="6" t="n">
        <f aca="false">SUM(I2:I21)</f>
        <v>184</v>
      </c>
      <c r="J23" s="6" t="n">
        <f aca="false">SUM(J2:J21)</f>
        <v>1758</v>
      </c>
      <c r="K23" s="2"/>
      <c r="L23" s="2"/>
      <c r="M23" s="2"/>
      <c r="N23" s="16"/>
      <c r="O23" s="16"/>
      <c r="P23" s="16"/>
      <c r="Q23" s="10" t="n">
        <f aca="false">SUM(Q2:Q21)</f>
        <v>1874.13790709291</v>
      </c>
      <c r="R23" s="16"/>
      <c r="S23" s="7" t="n">
        <f aca="false">MAX(S2:S21)</f>
        <v>125.333333333333</v>
      </c>
      <c r="T23" s="16"/>
      <c r="U23" s="16"/>
      <c r="V23" s="10" t="n">
        <f aca="false">COUNTIF(W2:W21,"так")</f>
        <v>11</v>
      </c>
      <c r="W23" s="2" t="s">
        <v>201</v>
      </c>
      <c r="X23" s="17"/>
      <c r="Y23" s="17"/>
      <c r="Z23" s="2"/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9"/>
    <col collapsed="false" customWidth="true" hidden="false" outlineLevel="0" max="4" min="4" style="0" width="22"/>
    <col collapsed="false" customWidth="true" hidden="false" outlineLevel="0" max="8" min="5" style="0" width="7"/>
    <col collapsed="false" customWidth="true" hidden="false" outlineLevel="0" max="9" min="9" style="0" width="10"/>
    <col collapsed="false" customWidth="true" hidden="false" outlineLevel="0" max="10" min="10" style="0" width="60"/>
  </cols>
  <sheetData>
    <row r="1" customFormat="false" ht="23.85" hidden="false" customHeight="false" outlineLevel="0" collapsed="false">
      <c r="A1" s="1" t="s">
        <v>72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132</v>
      </c>
      <c r="J1" s="1" t="s">
        <v>209</v>
      </c>
    </row>
    <row r="2" customFormat="false" ht="35.05" hidden="false" customHeight="false" outlineLevel="0" collapsed="false">
      <c r="A2" s="2" t="s">
        <v>139</v>
      </c>
      <c r="B2" s="2" t="s">
        <v>140</v>
      </c>
      <c r="C2" s="6" t="n">
        <f aca="false">'WBS і CPM'!K3</f>
        <v>8</v>
      </c>
      <c r="D2" s="6" t="n">
        <f aca="false">'WBS і CPM'!L3</f>
        <v>12</v>
      </c>
      <c r="E2" s="6" t="n">
        <f aca="false">'WBS і CPM'!M3</f>
        <v>24</v>
      </c>
      <c r="F2" s="7" t="n">
        <f aca="false">(C2+4*D2+E2)/6</f>
        <v>13.3333333333333</v>
      </c>
      <c r="G2" s="7" t="n">
        <f aca="false">(E2-C2)/6</f>
        <v>2.66666666666667</v>
      </c>
      <c r="H2" s="7" t="n">
        <f aca="false">G2^2</f>
        <v>7.11111111111111</v>
      </c>
      <c r="I2" s="6" t="str">
        <f aca="false">'WBS і CPM'!W3</f>
        <v>так</v>
      </c>
      <c r="J2" s="2" t="s">
        <v>210</v>
      </c>
    </row>
    <row r="3" customFormat="false" ht="35.05" hidden="false" customHeight="false" outlineLevel="0" collapsed="false">
      <c r="A3" s="2" t="s">
        <v>154</v>
      </c>
      <c r="B3" s="2" t="s">
        <v>155</v>
      </c>
      <c r="C3" s="6" t="n">
        <f aca="false">'WBS і CPM'!K8</f>
        <v>13</v>
      </c>
      <c r="D3" s="6" t="n">
        <f aca="false">'WBS і CPM'!L8</f>
        <v>16</v>
      </c>
      <c r="E3" s="6" t="n">
        <f aca="false">'WBS і CPM'!M8</f>
        <v>31</v>
      </c>
      <c r="F3" s="7" t="n">
        <f aca="false">(C3+4*D3+E3)/6</f>
        <v>18</v>
      </c>
      <c r="G3" s="7" t="n">
        <f aca="false">(E3-C3)/6</f>
        <v>3</v>
      </c>
      <c r="H3" s="7" t="n">
        <f aca="false">G3^2</f>
        <v>9</v>
      </c>
      <c r="I3" s="6" t="str">
        <f aca="false">'WBS і CPM'!W8</f>
        <v>ні</v>
      </c>
      <c r="J3" s="2" t="s">
        <v>211</v>
      </c>
    </row>
    <row r="4" customFormat="false" ht="23.85" hidden="false" customHeight="false" outlineLevel="0" collapsed="false">
      <c r="A4" s="2" t="s">
        <v>160</v>
      </c>
      <c r="B4" s="2" t="s">
        <v>100</v>
      </c>
      <c r="C4" s="6" t="n">
        <f aca="false">'WBS і CPM'!K10</f>
        <v>11</v>
      </c>
      <c r="D4" s="6" t="n">
        <f aca="false">'WBS і CPM'!L10</f>
        <v>16</v>
      </c>
      <c r="E4" s="6" t="n">
        <f aca="false">'WBS і CPM'!M10</f>
        <v>29</v>
      </c>
      <c r="F4" s="7" t="n">
        <f aca="false">(C4+4*D4+E4)/6</f>
        <v>17.3333333333333</v>
      </c>
      <c r="G4" s="7" t="n">
        <f aca="false">(E4-C4)/6</f>
        <v>3</v>
      </c>
      <c r="H4" s="7" t="n">
        <f aca="false">G4^2</f>
        <v>9</v>
      </c>
      <c r="I4" s="6" t="str">
        <f aca="false">'WBS і CPM'!W10</f>
        <v>так</v>
      </c>
      <c r="J4" s="2" t="s">
        <v>212</v>
      </c>
    </row>
    <row r="5" customFormat="false" ht="23.85" hidden="false" customHeight="false" outlineLevel="0" collapsed="false">
      <c r="A5" s="2" t="s">
        <v>168</v>
      </c>
      <c r="B5" s="2" t="s">
        <v>169</v>
      </c>
      <c r="C5" s="6" t="n">
        <f aca="false">'WBS і CPM'!K13</f>
        <v>11</v>
      </c>
      <c r="D5" s="6" t="n">
        <f aca="false">'WBS і CPM'!L13</f>
        <v>15</v>
      </c>
      <c r="E5" s="6" t="n">
        <f aca="false">'WBS і CPM'!M13</f>
        <v>23</v>
      </c>
      <c r="F5" s="7" t="n">
        <f aca="false">(C5+4*D5+E5)/6</f>
        <v>15.6666666666667</v>
      </c>
      <c r="G5" s="7" t="n">
        <f aca="false">(E5-C5)/6</f>
        <v>2</v>
      </c>
      <c r="H5" s="7" t="n">
        <f aca="false">G5^2</f>
        <v>4</v>
      </c>
      <c r="I5" s="6" t="str">
        <f aca="false">'WBS і CPM'!W13</f>
        <v>так</v>
      </c>
      <c r="J5" s="2" t="s">
        <v>213</v>
      </c>
    </row>
    <row r="6" customFormat="false" ht="23.85" hidden="false" customHeight="false" outlineLevel="0" collapsed="false">
      <c r="A6" s="2" t="s">
        <v>181</v>
      </c>
      <c r="B6" s="2" t="s">
        <v>182</v>
      </c>
      <c r="C6" s="6" t="n">
        <f aca="false">'WBS і CPM'!K17</f>
        <v>8</v>
      </c>
      <c r="D6" s="6" t="n">
        <f aca="false">'WBS і CPM'!L17</f>
        <v>10</v>
      </c>
      <c r="E6" s="6" t="n">
        <f aca="false">'WBS і CPM'!M17</f>
        <v>16</v>
      </c>
      <c r="F6" s="7" t="n">
        <f aca="false">(C6+4*D6+E6)/6</f>
        <v>10.6666666666667</v>
      </c>
      <c r="G6" s="7" t="n">
        <f aca="false">(E6-C6)/6</f>
        <v>1.33333333333333</v>
      </c>
      <c r="H6" s="7" t="n">
        <f aca="false">G6^2</f>
        <v>1.77777777777778</v>
      </c>
      <c r="I6" s="6" t="str">
        <f aca="false">'WBS і CPM'!W17</f>
        <v>так</v>
      </c>
      <c r="J6" s="2"/>
    </row>
    <row r="7" customFormat="false" ht="23.85" hidden="false" customHeight="false" outlineLevel="0" collapsed="false">
      <c r="A7" s="2" t="s">
        <v>185</v>
      </c>
      <c r="B7" s="2" t="s">
        <v>186</v>
      </c>
      <c r="C7" s="6" t="n">
        <f aca="false">'WBS і CPM'!K18</f>
        <v>7</v>
      </c>
      <c r="D7" s="6" t="n">
        <f aca="false">'WBS і CPM'!L18</f>
        <v>10</v>
      </c>
      <c r="E7" s="6" t="n">
        <f aca="false">'WBS і CPM'!M18</f>
        <v>20</v>
      </c>
      <c r="F7" s="7" t="n">
        <f aca="false">(C7+4*D7+E7)/6</f>
        <v>11.1666666666667</v>
      </c>
      <c r="G7" s="7" t="n">
        <f aca="false">(E7-C7)/6</f>
        <v>2.16666666666667</v>
      </c>
      <c r="H7" s="7" t="n">
        <f aca="false">G7^2</f>
        <v>4.69444444444444</v>
      </c>
      <c r="I7" s="6" t="str">
        <f aca="false">'WBS і CPM'!W18</f>
        <v>так</v>
      </c>
      <c r="J7" s="2" t="s">
        <v>214</v>
      </c>
    </row>
    <row r="9" customFormat="false" ht="15" hidden="false" customHeight="false" outlineLevel="0" collapsed="false">
      <c r="A9" s="1" t="s">
        <v>1</v>
      </c>
      <c r="B9" s="1" t="s">
        <v>2</v>
      </c>
      <c r="C9" s="1" t="s">
        <v>3</v>
      </c>
      <c r="D9" s="1" t="s">
        <v>5</v>
      </c>
    </row>
    <row r="10" customFormat="false" ht="15" hidden="false" customHeight="false" outlineLevel="0" collapsed="false">
      <c r="A10" s="2" t="s">
        <v>215</v>
      </c>
      <c r="B10" s="7" t="n">
        <f aca="false">SUMIF('WBS і CPM'!$W$2:$W$21,"так",'WBS і CPM'!$N$2:$N$21)</f>
        <v>125.333333333333</v>
      </c>
      <c r="C10" s="2" t="s">
        <v>46</v>
      </c>
      <c r="D10" s="2" t="s">
        <v>216</v>
      </c>
    </row>
    <row r="11" customFormat="false" ht="15" hidden="false" customHeight="false" outlineLevel="0" collapsed="false">
      <c r="A11" s="2" t="s">
        <v>217</v>
      </c>
      <c r="B11" s="7" t="n">
        <f aca="false">SUMIF('WBS і CPM'!$W$2:$W$21,"так",'WBS і CPM'!$P$2:$P$21)</f>
        <v>32.3888888888889</v>
      </c>
      <c r="C11" s="2" t="s">
        <v>218</v>
      </c>
      <c r="D11" s="2"/>
    </row>
    <row r="12" customFormat="false" ht="15" hidden="false" customHeight="false" outlineLevel="0" collapsed="false">
      <c r="A12" s="2" t="s">
        <v>219</v>
      </c>
      <c r="B12" s="7" t="n">
        <f aca="false">SQRT(B11)</f>
        <v>5.69112369298796</v>
      </c>
      <c r="C12" s="2" t="s">
        <v>46</v>
      </c>
      <c r="D12" s="2" t="s">
        <v>220</v>
      </c>
    </row>
    <row r="13" customFormat="false" ht="15" hidden="false" customHeight="false" outlineLevel="0" collapsed="false">
      <c r="A13" s="2" t="s">
        <v>221</v>
      </c>
      <c r="B13" s="7" t="n">
        <f aca="false">B10</f>
        <v>125.333333333333</v>
      </c>
      <c r="C13" s="2" t="s">
        <v>46</v>
      </c>
      <c r="D13" s="2" t="s">
        <v>222</v>
      </c>
    </row>
    <row r="14" customFormat="false" ht="15" hidden="false" customHeight="false" outlineLevel="0" collapsed="false">
      <c r="A14" s="2" t="s">
        <v>223</v>
      </c>
      <c r="B14" s="7" t="n">
        <f aca="false">B10+p2_z80*B12</f>
        <v>130.123103876242</v>
      </c>
      <c r="C14" s="2" t="s">
        <v>46</v>
      </c>
      <c r="D14" s="2" t="s">
        <v>224</v>
      </c>
    </row>
    <row r="15" customFormat="false" ht="15" hidden="false" customHeight="false" outlineLevel="0" collapsed="false">
      <c r="A15" s="2" t="s">
        <v>225</v>
      </c>
      <c r="B15" s="7" t="n">
        <f aca="false">B14-B13</f>
        <v>4.78977054290856</v>
      </c>
      <c r="C15" s="2" t="s">
        <v>46</v>
      </c>
      <c r="D15" s="2" t="s">
        <v>226</v>
      </c>
    </row>
    <row r="16" customFormat="false" ht="15" hidden="false" customHeight="false" outlineLevel="0" collapsed="false">
      <c r="A16" s="2" t="s">
        <v>227</v>
      </c>
      <c r="B16" s="7" t="n">
        <f aca="false">proj_end</f>
        <v>125.333333333333</v>
      </c>
      <c r="C16" s="2" t="s">
        <v>46</v>
      </c>
      <c r="D16" s="2" t="s">
        <v>228</v>
      </c>
    </row>
    <row r="17" customFormat="false" ht="15" hidden="false" customHeight="false" outlineLevel="0" collapsed="false">
      <c r="A17" s="2" t="s">
        <v>229</v>
      </c>
      <c r="B17" s="7" t="n">
        <f aca="false">p2_mc_p80</f>
        <v>131.4</v>
      </c>
      <c r="C17" s="2" t="s">
        <v>46</v>
      </c>
      <c r="D17" s="2" t="s">
        <v>230</v>
      </c>
    </row>
    <row r="18" customFormat="false" ht="15" hidden="false" customHeight="false" outlineLevel="0" collapsed="false">
      <c r="A18" s="2" t="s">
        <v>231</v>
      </c>
      <c r="B18" s="7" t="n">
        <f aca="false">ROUNDUP(MAX(B14,B17),0)</f>
        <v>132</v>
      </c>
      <c r="C18" s="2" t="s">
        <v>46</v>
      </c>
      <c r="D18" s="2" t="s">
        <v>232</v>
      </c>
    </row>
    <row r="19" customFormat="false" ht="15" hidden="false" customHeight="false" outlineLevel="0" collapsed="false">
      <c r="A19" s="2" t="s">
        <v>233</v>
      </c>
      <c r="B19" s="7" t="n">
        <f aca="false">B18-B13</f>
        <v>6.66666666666667</v>
      </c>
      <c r="C19" s="2" t="s">
        <v>46</v>
      </c>
      <c r="D19" s="2" t="s">
        <v>234</v>
      </c>
    </row>
    <row r="20" customFormat="false" ht="15" hidden="false" customHeight="false" outlineLevel="0" collapsed="false">
      <c r="A20" s="2" t="s">
        <v>45</v>
      </c>
      <c r="B20" s="7" t="n">
        <f aca="false">p2_mr</f>
        <v>15</v>
      </c>
      <c r="C20" s="2" t="s">
        <v>46</v>
      </c>
      <c r="D20" s="2" t="s">
        <v>235</v>
      </c>
    </row>
    <row r="21" customFormat="false" ht="15" hidden="false" customHeight="false" outlineLevel="0" collapsed="false">
      <c r="A21" s="2" t="s">
        <v>236</v>
      </c>
      <c r="B21" s="18" t="n">
        <f aca="false">p2_start</f>
        <v>46328</v>
      </c>
      <c r="C21" s="2" t="s">
        <v>8</v>
      </c>
      <c r="D21" s="2"/>
    </row>
    <row r="22" customFormat="false" ht="15" hidden="false" customHeight="false" outlineLevel="0" collapsed="false">
      <c r="A22" s="2" t="s">
        <v>237</v>
      </c>
      <c r="B22" s="18" t="n">
        <f aca="false">WORKDAY(p2_start,ROUNDUP(B13,0)-1,p2_holidays)</f>
        <v>46505</v>
      </c>
      <c r="C22" s="2" t="s">
        <v>8</v>
      </c>
      <c r="D22" s="2"/>
    </row>
    <row r="23" customFormat="false" ht="15" hidden="false" customHeight="false" outlineLevel="0" collapsed="false">
      <c r="A23" s="2" t="s">
        <v>238</v>
      </c>
      <c r="B23" s="18" t="n">
        <f aca="false">WORKDAY(p2_start,B18-1,p2_holidays)</f>
        <v>46513</v>
      </c>
      <c r="C23" s="2" t="s">
        <v>8</v>
      </c>
      <c r="D23" s="2" t="s">
        <v>239</v>
      </c>
    </row>
    <row r="24" customFormat="false" ht="15" hidden="false" customHeight="false" outlineLevel="0" collapsed="false">
      <c r="A24" s="2" t="s">
        <v>240</v>
      </c>
      <c r="B24" s="18" t="n">
        <f aca="false">WORKDAY(p2_start,B18+B20-1,p2_holidays)</f>
        <v>46534</v>
      </c>
      <c r="C24" s="2" t="s">
        <v>8</v>
      </c>
      <c r="D24" s="2" t="s">
        <v>241</v>
      </c>
    </row>
    <row r="25" customFormat="false" ht="15" hidden="false" customHeight="false" outlineLevel="0" collapsed="false">
      <c r="A25" s="2" t="s">
        <v>242</v>
      </c>
      <c r="B25" s="7" t="n">
        <f aca="false">B18/p2_days_week</f>
        <v>26.4</v>
      </c>
      <c r="C25" s="2" t="s">
        <v>32</v>
      </c>
      <c r="D25" s="2"/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6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50"/>
  </cols>
  <sheetData>
    <row r="1" customFormat="false" ht="15" hidden="false" customHeight="false" outlineLevel="0" collapsed="false">
      <c r="A1" s="1" t="s">
        <v>72</v>
      </c>
      <c r="B1" s="1" t="s">
        <v>243</v>
      </c>
      <c r="C1" s="1" t="s">
        <v>28</v>
      </c>
      <c r="D1" s="1" t="s">
        <v>244</v>
      </c>
      <c r="F1" s="1" t="s">
        <v>245</v>
      </c>
    </row>
    <row r="2" customFormat="false" ht="23.85" hidden="false" customHeight="false" outlineLevel="0" collapsed="false">
      <c r="A2" s="2" t="s">
        <v>246</v>
      </c>
      <c r="B2" s="2" t="s">
        <v>146</v>
      </c>
      <c r="C2" s="4" t="n">
        <v>8</v>
      </c>
      <c r="D2" s="2" t="s">
        <v>145</v>
      </c>
      <c r="F2" s="2" t="s">
        <v>247</v>
      </c>
    </row>
    <row r="3" customFormat="false" ht="23.85" hidden="false" customHeight="false" outlineLevel="0" collapsed="false">
      <c r="A3" s="2" t="s">
        <v>248</v>
      </c>
      <c r="B3" s="2" t="s">
        <v>249</v>
      </c>
      <c r="C3" s="4" t="n">
        <v>13</v>
      </c>
      <c r="D3" s="2" t="s">
        <v>148</v>
      </c>
      <c r="F3" s="2" t="s">
        <v>250</v>
      </c>
    </row>
    <row r="4" customFormat="false" ht="23.85" hidden="false" customHeight="false" outlineLevel="0" collapsed="false">
      <c r="A4" s="2" t="s">
        <v>251</v>
      </c>
      <c r="B4" s="2" t="s">
        <v>96</v>
      </c>
      <c r="C4" s="4" t="n">
        <v>13</v>
      </c>
      <c r="D4" s="2" t="s">
        <v>154</v>
      </c>
      <c r="F4" s="2" t="s">
        <v>252</v>
      </c>
    </row>
    <row r="5" customFormat="false" ht="23.85" hidden="false" customHeight="false" outlineLevel="0" collapsed="false">
      <c r="A5" s="2" t="s">
        <v>253</v>
      </c>
      <c r="B5" s="2" t="s">
        <v>152</v>
      </c>
      <c r="C5" s="4" t="n">
        <v>13</v>
      </c>
      <c r="D5" s="2" t="s">
        <v>151</v>
      </c>
      <c r="F5" s="2" t="s">
        <v>254</v>
      </c>
    </row>
    <row r="6" customFormat="false" ht="15" hidden="false" customHeight="false" outlineLevel="0" collapsed="false">
      <c r="A6" s="2" t="s">
        <v>255</v>
      </c>
      <c r="B6" s="2" t="s">
        <v>92</v>
      </c>
      <c r="C6" s="4" t="n">
        <v>8</v>
      </c>
      <c r="D6" s="2" t="s">
        <v>158</v>
      </c>
      <c r="F6" s="2" t="s">
        <v>256</v>
      </c>
    </row>
    <row r="7" customFormat="false" ht="23.85" hidden="false" customHeight="false" outlineLevel="0" collapsed="false">
      <c r="A7" s="2" t="s">
        <v>257</v>
      </c>
      <c r="B7" s="2" t="s">
        <v>100</v>
      </c>
      <c r="C7" s="4" t="n">
        <v>13</v>
      </c>
      <c r="D7" s="2" t="s">
        <v>160</v>
      </c>
      <c r="F7" s="2" t="s">
        <v>258</v>
      </c>
    </row>
    <row r="8" customFormat="false" ht="15" hidden="false" customHeight="false" outlineLevel="0" collapsed="false">
      <c r="A8" s="2" t="s">
        <v>259</v>
      </c>
      <c r="B8" s="2" t="s">
        <v>163</v>
      </c>
      <c r="C8" s="4" t="n">
        <v>8</v>
      </c>
      <c r="D8" s="2" t="s">
        <v>162</v>
      </c>
      <c r="F8" s="2" t="s">
        <v>260</v>
      </c>
    </row>
    <row r="9" customFormat="false" ht="23.85" hidden="false" customHeight="false" outlineLevel="0" collapsed="false">
      <c r="A9" s="2" t="s">
        <v>261</v>
      </c>
      <c r="B9" s="2" t="s">
        <v>166</v>
      </c>
      <c r="C9" s="4" t="n">
        <v>8</v>
      </c>
      <c r="D9" s="2" t="s">
        <v>165</v>
      </c>
      <c r="F9" s="2" t="s">
        <v>262</v>
      </c>
    </row>
    <row r="10" customFormat="false" ht="23.85" hidden="false" customHeight="false" outlineLevel="0" collapsed="false">
      <c r="A10" s="2" t="s">
        <v>263</v>
      </c>
      <c r="B10" s="2" t="s">
        <v>169</v>
      </c>
      <c r="C10" s="4" t="n">
        <v>13</v>
      </c>
      <c r="D10" s="2" t="s">
        <v>168</v>
      </c>
      <c r="F10" s="2" t="s">
        <v>264</v>
      </c>
    </row>
    <row r="11" customFormat="false" ht="23.85" hidden="false" customHeight="false" outlineLevel="0" collapsed="false">
      <c r="A11" s="2" t="s">
        <v>265</v>
      </c>
      <c r="B11" s="2" t="s">
        <v>266</v>
      </c>
      <c r="C11" s="4" t="n">
        <v>8</v>
      </c>
      <c r="D11" s="2" t="s">
        <v>171</v>
      </c>
      <c r="F11" s="2" t="s">
        <v>267</v>
      </c>
    </row>
    <row r="12" customFormat="false" ht="15" hidden="false" customHeight="false" outlineLevel="0" collapsed="false">
      <c r="A12" s="2" t="s">
        <v>268</v>
      </c>
      <c r="B12" s="2" t="s">
        <v>175</v>
      </c>
      <c r="C12" s="4" t="n">
        <v>8</v>
      </c>
      <c r="D12" s="2" t="s">
        <v>174</v>
      </c>
      <c r="F12" s="2" t="s">
        <v>269</v>
      </c>
    </row>
    <row r="13" customFormat="false" ht="15" hidden="false" customHeight="false" outlineLevel="0" collapsed="false">
      <c r="A13" s="2" t="s">
        <v>270</v>
      </c>
      <c r="B13" s="2" t="s">
        <v>271</v>
      </c>
      <c r="C13" s="4" t="n">
        <v>3</v>
      </c>
      <c r="D13" s="2" t="s">
        <v>181</v>
      </c>
      <c r="F13" s="2" t="s">
        <v>272</v>
      </c>
    </row>
    <row r="14" customFormat="false" ht="15" hidden="false" customHeight="false" outlineLevel="0" collapsed="false">
      <c r="A14" s="2" t="s">
        <v>71</v>
      </c>
      <c r="B14" s="6" t="str">
        <f aca="false">IF(C14=p2_backlog,"Разом: збігається з варіантом","Разом: розбіжність")</f>
        <v>Разом: збігається з варіантом</v>
      </c>
      <c r="C14" s="6" t="n">
        <f aca="false">SUM(C2:C13)</f>
        <v>116</v>
      </c>
      <c r="D14" s="2"/>
      <c r="F14" s="2"/>
    </row>
    <row r="16" customFormat="false" ht="15" hidden="false" customHeight="false" outlineLevel="0" collapsed="false">
      <c r="A16" s="1" t="s">
        <v>273</v>
      </c>
      <c r="B16" s="1" t="s">
        <v>274</v>
      </c>
    </row>
    <row r="17" customFormat="false" ht="15" hidden="false" customHeight="false" outlineLevel="0" collapsed="false">
      <c r="A17" s="2" t="s">
        <v>77</v>
      </c>
      <c r="B17" s="4" t="n">
        <v>17</v>
      </c>
    </row>
    <row r="18" customFormat="false" ht="15" hidden="false" customHeight="false" outlineLevel="0" collapsed="false">
      <c r="A18" s="2" t="s">
        <v>82</v>
      </c>
      <c r="B18" s="4" t="n">
        <v>19</v>
      </c>
    </row>
    <row r="19" customFormat="false" ht="15" hidden="false" customHeight="false" outlineLevel="0" collapsed="false">
      <c r="A19" s="2" t="s">
        <v>86</v>
      </c>
      <c r="B19" s="4" t="n">
        <v>16</v>
      </c>
    </row>
    <row r="20" customFormat="false" ht="15" hidden="false" customHeight="false" outlineLevel="0" collapsed="false">
      <c r="A20" s="2" t="s">
        <v>91</v>
      </c>
      <c r="B20" s="4" t="n">
        <v>21</v>
      </c>
    </row>
    <row r="21" customFormat="false" ht="15" hidden="false" customHeight="false" outlineLevel="0" collapsed="false">
      <c r="A21" s="2" t="s">
        <v>95</v>
      </c>
      <c r="B21" s="4" t="n">
        <v>18</v>
      </c>
    </row>
    <row r="22" customFormat="false" ht="15" hidden="false" customHeight="false" outlineLevel="0" collapsed="false">
      <c r="A22" s="2" t="s">
        <v>99</v>
      </c>
      <c r="B22" s="4" t="n">
        <v>20</v>
      </c>
    </row>
    <row r="24" customFormat="false" ht="15" hidden="false" customHeight="false" outlineLevel="0" collapsed="false">
      <c r="A24" s="1" t="s">
        <v>275</v>
      </c>
      <c r="B24" s="1" t="s">
        <v>274</v>
      </c>
      <c r="C24" s="1" t="s">
        <v>276</v>
      </c>
      <c r="D24" s="1" t="s">
        <v>277</v>
      </c>
      <c r="E24" s="1" t="s">
        <v>278</v>
      </c>
    </row>
    <row r="25" customFormat="false" ht="15" hidden="false" customHeight="false" outlineLevel="0" collapsed="false">
      <c r="A25" s="2" t="s">
        <v>279</v>
      </c>
      <c r="B25" s="6" t="n">
        <f aca="false">MAX(B17:B22)</f>
        <v>21</v>
      </c>
      <c r="C25" s="7" t="n">
        <f aca="false">p2_backlog/B25</f>
        <v>5.52380952380952</v>
      </c>
      <c r="D25" s="6" t="n">
        <f aca="false">ROUNDUP(p2_backlog/B25,0)</f>
        <v>6</v>
      </c>
      <c r="E25" s="6" t="n">
        <f aca="false">D25*p2_sprint</f>
        <v>12</v>
      </c>
    </row>
    <row r="26" customFormat="false" ht="15" hidden="false" customHeight="false" outlineLevel="0" collapsed="false">
      <c r="A26" s="2" t="s">
        <v>280</v>
      </c>
      <c r="B26" s="6" t="n">
        <f aca="false">MEDIAN(B17:B22)</f>
        <v>18.5</v>
      </c>
      <c r="C26" s="7" t="n">
        <f aca="false">p2_backlog/B26</f>
        <v>6.27027027027027</v>
      </c>
      <c r="D26" s="6" t="n">
        <f aca="false">ROUNDUP(p2_backlog/B26,0)</f>
        <v>7</v>
      </c>
      <c r="E26" s="6" t="n">
        <f aca="false">D26*p2_sprint</f>
        <v>14</v>
      </c>
    </row>
    <row r="27" customFormat="false" ht="15" hidden="false" customHeight="false" outlineLevel="0" collapsed="false">
      <c r="A27" s="2" t="s">
        <v>281</v>
      </c>
      <c r="B27" s="6" t="n">
        <f aca="false">MIN(B17:B22)</f>
        <v>16</v>
      </c>
      <c r="C27" s="7" t="n">
        <f aca="false">p2_backlog/B27</f>
        <v>7.25</v>
      </c>
      <c r="D27" s="6" t="n">
        <f aca="false">ROUNDUP(p2_backlog/B27,0)</f>
        <v>8</v>
      </c>
      <c r="E27" s="6" t="n">
        <f aca="false">D27*p2_sprint</f>
        <v>16</v>
      </c>
    </row>
    <row r="29" customFormat="false" ht="15" hidden="false" customHeight="false" outlineLevel="0" collapsed="false">
      <c r="A29" s="1" t="s">
        <v>282</v>
      </c>
      <c r="B29" s="1" t="s">
        <v>283</v>
      </c>
      <c r="C29" s="1" t="s">
        <v>284</v>
      </c>
      <c r="D29" s="1" t="s">
        <v>285</v>
      </c>
      <c r="E29" s="1" t="s">
        <v>286</v>
      </c>
    </row>
    <row r="30" customFormat="false" ht="15" hidden="false" customHeight="false" outlineLevel="0" collapsed="false">
      <c r="A30" s="2" t="s">
        <v>287</v>
      </c>
      <c r="B30" s="7" t="n">
        <f aca="false">'WBS і CPM'!S3</f>
        <v>21.6666666666667</v>
      </c>
      <c r="C30" s="6" t="n">
        <f aca="false">E25*p2_days_week</f>
        <v>60</v>
      </c>
      <c r="D30" s="7" t="n">
        <f aca="false">proj_end-MAX('WBS і CPM'!S5,'WBS і CPM'!S6,'WBS і CPM'!S7,'WBS і CPM'!S8,'WBS і CPM'!S9,'WBS і CPM'!S10,'WBS і CPM'!S11,'WBS і CPM'!S12,'WBS і CPM'!S13,'WBS і CPM'!S14,'WBS і CPM'!S15)</f>
        <v>27.1666666666667</v>
      </c>
      <c r="E30" s="7" t="n">
        <f aca="false">(B30+C30+D30)/p2_days_week</f>
        <v>21.7666666666667</v>
      </c>
    </row>
    <row r="31" customFormat="false" ht="15" hidden="false" customHeight="false" outlineLevel="0" collapsed="false">
      <c r="A31" s="2" t="s">
        <v>288</v>
      </c>
      <c r="B31" s="7" t="n">
        <f aca="false">'WBS і CPM'!S3</f>
        <v>21.6666666666667</v>
      </c>
      <c r="C31" s="6" t="n">
        <f aca="false">E26*p2_days_week</f>
        <v>70</v>
      </c>
      <c r="D31" s="7" t="n">
        <f aca="false">proj_end-MAX('WBS і CPM'!S5,'WBS і CPM'!S6,'WBS і CPM'!S7,'WBS і CPM'!S8,'WBS і CPM'!S9,'WBS і CPM'!S10,'WBS і CPM'!S11,'WBS і CPM'!S12,'WBS і CPM'!S13,'WBS і CPM'!S14,'WBS і CPM'!S15)</f>
        <v>27.1666666666667</v>
      </c>
      <c r="E31" s="7" t="n">
        <f aca="false">(B31+C31+D31)/p2_days_week</f>
        <v>23.7666666666667</v>
      </c>
    </row>
    <row r="32" customFormat="false" ht="15" hidden="false" customHeight="false" outlineLevel="0" collapsed="false">
      <c r="A32" s="2" t="s">
        <v>289</v>
      </c>
      <c r="B32" s="7" t="n">
        <f aca="false">'WBS і CPM'!S3</f>
        <v>21.6666666666667</v>
      </c>
      <c r="C32" s="6" t="n">
        <f aca="false">E27*p2_days_week</f>
        <v>80</v>
      </c>
      <c r="D32" s="7" t="n">
        <f aca="false">proj_end-MAX('WBS і CPM'!S5,'WBS і CPM'!S6,'WBS і CPM'!S7,'WBS і CPM'!S8,'WBS і CPM'!S9,'WBS і CPM'!S10,'WBS і CPM'!S11,'WBS і CPM'!S12,'WBS і CPM'!S13,'WBS і CPM'!S14,'WBS і CPM'!S15)</f>
        <v>27.1666666666667</v>
      </c>
      <c r="E32" s="7" t="n">
        <f aca="false">(B32+C32+D32)/p2_days_week</f>
        <v>25.7666666666667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6" min="4" style="0" width="17"/>
  </cols>
  <sheetData>
    <row r="1" customFormat="false" ht="15" hidden="false" customHeight="false" outlineLevel="0" collapsed="false">
      <c r="A1" s="1" t="s">
        <v>290</v>
      </c>
      <c r="B1" s="1" t="s">
        <v>291</v>
      </c>
      <c r="C1" s="1" t="s">
        <v>292</v>
      </c>
      <c r="D1" s="1" t="s">
        <v>293</v>
      </c>
    </row>
    <row r="2" customFormat="false" ht="15" hidden="false" customHeight="false" outlineLevel="0" collapsed="false">
      <c r="A2" s="2" t="s">
        <v>294</v>
      </c>
      <c r="B2" s="2" t="s">
        <v>295</v>
      </c>
      <c r="C2" s="2" t="s">
        <v>296</v>
      </c>
      <c r="D2" s="6" t="n">
        <f aca="false">IF(B2="S",1,IF(B2="A",2,3))</f>
        <v>1</v>
      </c>
    </row>
    <row r="3" customFormat="false" ht="15" hidden="false" customHeight="false" outlineLevel="0" collapsed="false">
      <c r="A3" s="2" t="s">
        <v>297</v>
      </c>
      <c r="B3" s="2" t="s">
        <v>295</v>
      </c>
      <c r="C3" s="2" t="s">
        <v>296</v>
      </c>
      <c r="D3" s="6" t="n">
        <f aca="false">IF(B3="S",1,IF(B3="A",2,3))</f>
        <v>1</v>
      </c>
    </row>
    <row r="4" customFormat="false" ht="15" hidden="false" customHeight="false" outlineLevel="0" collapsed="false">
      <c r="A4" s="2" t="s">
        <v>298</v>
      </c>
      <c r="B4" s="2" t="s">
        <v>295</v>
      </c>
      <c r="C4" s="2" t="s">
        <v>296</v>
      </c>
      <c r="D4" s="6" t="n">
        <f aca="false">IF(B4="S",1,IF(B4="A",2,3))</f>
        <v>1</v>
      </c>
    </row>
    <row r="5" customFormat="false" ht="15" hidden="false" customHeight="false" outlineLevel="0" collapsed="false">
      <c r="A5" s="2" t="s">
        <v>299</v>
      </c>
      <c r="B5" s="2" t="s">
        <v>300</v>
      </c>
      <c r="C5" s="2" t="s">
        <v>301</v>
      </c>
      <c r="D5" s="6" t="n">
        <f aca="false">IF(B5="S",1,IF(B5="A",2,3))</f>
        <v>2</v>
      </c>
    </row>
    <row r="6" customFormat="false" ht="15" hidden="false" customHeight="false" outlineLevel="0" collapsed="false">
      <c r="A6" s="2" t="s">
        <v>302</v>
      </c>
      <c r="B6" s="2" t="s">
        <v>303</v>
      </c>
      <c r="C6" s="2" t="s">
        <v>304</v>
      </c>
      <c r="D6" s="6" t="n">
        <f aca="false">IF(B6="S",1,IF(B6="A",2,3))</f>
        <v>3</v>
      </c>
    </row>
    <row r="7" customFormat="false" ht="15" hidden="false" customHeight="false" outlineLevel="0" collapsed="false">
      <c r="A7" s="2" t="s">
        <v>305</v>
      </c>
      <c r="B7" s="2" t="s">
        <v>303</v>
      </c>
      <c r="C7" s="2" t="s">
        <v>304</v>
      </c>
      <c r="D7" s="6" t="n">
        <f aca="false">IF(B7="S",1,IF(B7="A",2,3))</f>
        <v>3</v>
      </c>
    </row>
    <row r="9" customFormat="false" ht="15" hidden="false" customHeight="false" outlineLevel="0" collapsed="false">
      <c r="A9" s="1" t="s">
        <v>306</v>
      </c>
      <c r="B9" s="1" t="s">
        <v>307</v>
      </c>
      <c r="C9" s="1" t="s">
        <v>308</v>
      </c>
      <c r="D9" s="1" t="s">
        <v>291</v>
      </c>
      <c r="E9" s="1" t="s">
        <v>293</v>
      </c>
    </row>
    <row r="10" customFormat="false" ht="15" hidden="false" customHeight="false" outlineLevel="0" collapsed="false">
      <c r="A10" s="2" t="s">
        <v>309</v>
      </c>
      <c r="B10" s="4" t="n">
        <v>6</v>
      </c>
      <c r="C10" s="2" t="s">
        <v>310</v>
      </c>
      <c r="D10" s="6" t="str">
        <f aca="false">IF(B10&lt;=3,"S",IF(B10&lt;=7,"A","C"))</f>
        <v>A</v>
      </c>
      <c r="E10" s="6" t="n">
        <f aca="false">IF(D10="S",5,IF(D10="A",10,15))</f>
        <v>10</v>
      </c>
    </row>
    <row r="11" customFormat="false" ht="15" hidden="false" customHeight="false" outlineLevel="0" collapsed="false">
      <c r="A11" s="2" t="s">
        <v>311</v>
      </c>
      <c r="B11" s="4" t="n">
        <v>5</v>
      </c>
      <c r="C11" s="2" t="s">
        <v>312</v>
      </c>
      <c r="D11" s="6" t="str">
        <f aca="false">IF(B11&lt;=3,"S",IF(B11&lt;=7,"A","C"))</f>
        <v>A</v>
      </c>
      <c r="E11" s="6" t="n">
        <f aca="false">IF(D11="S",5,IF(D11="A",10,15))</f>
        <v>10</v>
      </c>
    </row>
    <row r="12" customFormat="false" ht="15" hidden="false" customHeight="false" outlineLevel="0" collapsed="false">
      <c r="A12" s="2" t="s">
        <v>313</v>
      </c>
      <c r="B12" s="4" t="n">
        <v>3</v>
      </c>
      <c r="C12" s="2" t="s">
        <v>312</v>
      </c>
      <c r="D12" s="6" t="str">
        <f aca="false">IF(B12&lt;=3,"S",IF(B12&lt;=7,"A","C"))</f>
        <v>S</v>
      </c>
      <c r="E12" s="6" t="n">
        <f aca="false">IF(D12="S",5,IF(D12="A",10,15))</f>
        <v>5</v>
      </c>
    </row>
    <row r="13" customFormat="false" ht="15" hidden="false" customHeight="false" outlineLevel="0" collapsed="false">
      <c r="A13" s="2" t="s">
        <v>314</v>
      </c>
      <c r="B13" s="4" t="n">
        <v>9</v>
      </c>
      <c r="C13" s="2" t="s">
        <v>315</v>
      </c>
      <c r="D13" s="6" t="str">
        <f aca="false">IF(B13&lt;=3,"S",IF(B13&lt;=7,"A","C"))</f>
        <v>C</v>
      </c>
      <c r="E13" s="6" t="n">
        <f aca="false">IF(D13="S",5,IF(D13="A",10,15))</f>
        <v>15</v>
      </c>
    </row>
    <row r="14" customFormat="false" ht="15" hidden="false" customHeight="false" outlineLevel="0" collapsed="false">
      <c r="A14" s="2" t="s">
        <v>316</v>
      </c>
      <c r="B14" s="4" t="n">
        <v>5</v>
      </c>
      <c r="C14" s="2" t="s">
        <v>317</v>
      </c>
      <c r="D14" s="6" t="str">
        <f aca="false">IF(B14&lt;=3,"S",IF(B14&lt;=7,"A","C"))</f>
        <v>A</v>
      </c>
      <c r="E14" s="6" t="n">
        <f aca="false">IF(D14="S",5,IF(D14="A",10,15))</f>
        <v>10</v>
      </c>
    </row>
    <row r="15" customFormat="false" ht="15" hidden="false" customHeight="false" outlineLevel="0" collapsed="false">
      <c r="A15" s="2" t="s">
        <v>318</v>
      </c>
      <c r="B15" s="4" t="n">
        <v>4</v>
      </c>
      <c r="C15" s="2" t="s">
        <v>319</v>
      </c>
      <c r="D15" s="6" t="str">
        <f aca="false">IF(B15&lt;=3,"S",IF(B15&lt;=7,"A","C"))</f>
        <v>A</v>
      </c>
      <c r="E15" s="6" t="n">
        <f aca="false">IF(D15="S",5,IF(D15="A",10,15))</f>
        <v>10</v>
      </c>
    </row>
    <row r="16" customFormat="false" ht="15" hidden="false" customHeight="false" outlineLevel="0" collapsed="false">
      <c r="A16" s="2" t="s">
        <v>320</v>
      </c>
      <c r="B16" s="4" t="n">
        <v>8</v>
      </c>
      <c r="C16" s="2" t="s">
        <v>321</v>
      </c>
      <c r="D16" s="6" t="str">
        <f aca="false">IF(B16&lt;=3,"S",IF(B16&lt;=7,"A","C"))</f>
        <v>C</v>
      </c>
      <c r="E16" s="6" t="n">
        <f aca="false">IF(D16="S",5,IF(D16="A",10,15))</f>
        <v>15</v>
      </c>
    </row>
    <row r="17" customFormat="false" ht="15" hidden="false" customHeight="false" outlineLevel="0" collapsed="false">
      <c r="A17" s="2" t="s">
        <v>322</v>
      </c>
      <c r="B17" s="4" t="n">
        <v>6</v>
      </c>
      <c r="C17" s="2" t="s">
        <v>323</v>
      </c>
      <c r="D17" s="6" t="str">
        <f aca="false">IF(B17&lt;=3,"S",IF(B17&lt;=7,"A","C"))</f>
        <v>A</v>
      </c>
      <c r="E17" s="6" t="n">
        <f aca="false">IF(D17="S",5,IF(D17="A",10,15))</f>
        <v>10</v>
      </c>
    </row>
    <row r="18" customFormat="false" ht="15" hidden="false" customHeight="false" outlineLevel="0" collapsed="false">
      <c r="A18" s="2" t="s">
        <v>324</v>
      </c>
      <c r="B18" s="4" t="n">
        <v>10</v>
      </c>
      <c r="C18" s="2" t="s">
        <v>325</v>
      </c>
      <c r="D18" s="6" t="str">
        <f aca="false">IF(B18&lt;=3,"S",IF(B18&lt;=7,"A","C"))</f>
        <v>C</v>
      </c>
      <c r="E18" s="6" t="n">
        <f aca="false">IF(D18="S",5,IF(D18="A",10,15))</f>
        <v>15</v>
      </c>
    </row>
    <row r="19" customFormat="false" ht="15" hidden="false" customHeight="false" outlineLevel="0" collapsed="false">
      <c r="A19" s="2" t="s">
        <v>326</v>
      </c>
      <c r="B19" s="4" t="n">
        <v>3</v>
      </c>
      <c r="C19" s="2" t="s">
        <v>327</v>
      </c>
      <c r="D19" s="6" t="str">
        <f aca="false">IF(B19&lt;=3,"S",IF(B19&lt;=7,"A","C"))</f>
        <v>S</v>
      </c>
      <c r="E19" s="6" t="n">
        <f aca="false">IF(D19="S",5,IF(D19="A",10,15))</f>
        <v>5</v>
      </c>
    </row>
    <row r="20" customFormat="false" ht="15" hidden="false" customHeight="false" outlineLevel="0" collapsed="false">
      <c r="A20" s="2" t="s">
        <v>328</v>
      </c>
      <c r="B20" s="4" t="n">
        <v>5</v>
      </c>
      <c r="C20" s="2" t="s">
        <v>329</v>
      </c>
      <c r="D20" s="6" t="str">
        <f aca="false">IF(B20&lt;=3,"S",IF(B20&lt;=7,"A","C"))</f>
        <v>A</v>
      </c>
      <c r="E20" s="6" t="n">
        <f aca="false">IF(D20="S",5,IF(D20="A",10,15))</f>
        <v>10</v>
      </c>
    </row>
    <row r="21" customFormat="false" ht="15" hidden="false" customHeight="false" outlineLevel="0" collapsed="false">
      <c r="A21" s="2" t="s">
        <v>330</v>
      </c>
      <c r="B21" s="4" t="n">
        <v>5</v>
      </c>
      <c r="C21" s="2" t="s">
        <v>331</v>
      </c>
      <c r="D21" s="6" t="str">
        <f aca="false">IF(B21&lt;=3,"S",IF(B21&lt;=7,"A","C"))</f>
        <v>A</v>
      </c>
      <c r="E21" s="6" t="n">
        <f aca="false">IF(D21="S",5,IF(D21="A",10,15))</f>
        <v>10</v>
      </c>
    </row>
    <row r="22" customFormat="false" ht="15" hidden="false" customHeight="false" outlineLevel="0" collapsed="false">
      <c r="A22" s="2" t="s">
        <v>332</v>
      </c>
      <c r="B22" s="4" t="n">
        <v>2</v>
      </c>
      <c r="C22" s="2" t="s">
        <v>333</v>
      </c>
      <c r="D22" s="6" t="str">
        <f aca="false">IF(B22&lt;=3,"S",IF(B22&lt;=7,"A","C"))</f>
        <v>S</v>
      </c>
      <c r="E22" s="6" t="n">
        <f aca="false">IF(D22="S",5,IF(D22="A",10,15))</f>
        <v>5</v>
      </c>
    </row>
    <row r="23" customFormat="false" ht="15" hidden="false" customHeight="false" outlineLevel="0" collapsed="false">
      <c r="A23" s="2" t="s">
        <v>334</v>
      </c>
      <c r="B23" s="4" t="n">
        <v>3</v>
      </c>
      <c r="C23" s="2" t="s">
        <v>335</v>
      </c>
      <c r="D23" s="6" t="str">
        <f aca="false">IF(B23&lt;=3,"S",IF(B23&lt;=7,"A","C"))</f>
        <v>S</v>
      </c>
      <c r="E23" s="6" t="n">
        <f aca="false">IF(D23="S",5,IF(D23="A",10,15))</f>
        <v>5</v>
      </c>
    </row>
    <row r="24" customFormat="false" ht="15" hidden="false" customHeight="false" outlineLevel="0" collapsed="false">
      <c r="A24" s="2" t="s">
        <v>336</v>
      </c>
      <c r="B24" s="4" t="n">
        <v>2</v>
      </c>
      <c r="C24" s="2" t="s">
        <v>337</v>
      </c>
      <c r="D24" s="6" t="str">
        <f aca="false">IF(B24&lt;=3,"S",IF(B24&lt;=7,"A","C"))</f>
        <v>S</v>
      </c>
      <c r="E24" s="6" t="n">
        <f aca="false">IF(D24="S",5,IF(D24="A",10,15))</f>
        <v>5</v>
      </c>
    </row>
    <row r="26" customFormat="false" ht="15" hidden="false" customHeight="false" outlineLevel="0" collapsed="false">
      <c r="A26" s="1" t="s">
        <v>338</v>
      </c>
      <c r="B26" s="1" t="s">
        <v>339</v>
      </c>
      <c r="C26" s="1" t="s">
        <v>293</v>
      </c>
      <c r="D26" s="1" t="s">
        <v>340</v>
      </c>
    </row>
    <row r="27" customFormat="false" ht="15" hidden="false" customHeight="false" outlineLevel="0" collapsed="false">
      <c r="A27" s="2" t="s">
        <v>341</v>
      </c>
      <c r="B27" s="6" t="n">
        <f aca="false">COUNTIF(B2:B7,"S")</f>
        <v>3</v>
      </c>
      <c r="C27" s="6" t="n">
        <v>1</v>
      </c>
      <c r="D27" s="7" t="n">
        <f aca="false">B27*C27</f>
        <v>3</v>
      </c>
    </row>
    <row r="28" customFormat="false" ht="15" hidden="false" customHeight="false" outlineLevel="0" collapsed="false">
      <c r="A28" s="2" t="s">
        <v>342</v>
      </c>
      <c r="B28" s="6" t="n">
        <f aca="false">COUNTIF(B2:B7,"A")</f>
        <v>1</v>
      </c>
      <c r="C28" s="6" t="n">
        <v>2</v>
      </c>
      <c r="D28" s="7" t="n">
        <f aca="false">B28*C28</f>
        <v>2</v>
      </c>
    </row>
    <row r="29" customFormat="false" ht="15" hidden="false" customHeight="false" outlineLevel="0" collapsed="false">
      <c r="A29" s="2" t="s">
        <v>343</v>
      </c>
      <c r="B29" s="6" t="n">
        <f aca="false">COUNTIF(B2:B7,"C")</f>
        <v>2</v>
      </c>
      <c r="C29" s="6" t="n">
        <v>3</v>
      </c>
      <c r="D29" s="7" t="n">
        <f aca="false">B29*C29</f>
        <v>6</v>
      </c>
    </row>
    <row r="30" customFormat="false" ht="15" hidden="false" customHeight="false" outlineLevel="0" collapsed="false">
      <c r="A30" s="2" t="s">
        <v>344</v>
      </c>
      <c r="B30" s="2"/>
      <c r="C30" s="2"/>
      <c r="D30" s="7" t="n">
        <f aca="false">SUM(D27:D29)</f>
        <v>11</v>
      </c>
    </row>
    <row r="31" customFormat="false" ht="15" hidden="false" customHeight="false" outlineLevel="0" collapsed="false">
      <c r="A31" s="2" t="s">
        <v>345</v>
      </c>
      <c r="B31" s="6" t="n">
        <f aca="false">COUNTIF(D10:D24,"S")</f>
        <v>5</v>
      </c>
      <c r="C31" s="6" t="n">
        <v>5</v>
      </c>
      <c r="D31" s="7" t="n">
        <f aca="false">B31*C31</f>
        <v>25</v>
      </c>
    </row>
    <row r="32" customFormat="false" ht="15" hidden="false" customHeight="false" outlineLevel="0" collapsed="false">
      <c r="A32" s="2" t="s">
        <v>346</v>
      </c>
      <c r="B32" s="6" t="n">
        <f aca="false">COUNTIF(D10:D24,"A")</f>
        <v>7</v>
      </c>
      <c r="C32" s="6" t="n">
        <v>10</v>
      </c>
      <c r="D32" s="7" t="n">
        <f aca="false">B32*C32</f>
        <v>70</v>
      </c>
    </row>
    <row r="33" customFormat="false" ht="15" hidden="false" customHeight="false" outlineLevel="0" collapsed="false">
      <c r="A33" s="2" t="s">
        <v>347</v>
      </c>
      <c r="B33" s="6" t="n">
        <f aca="false">COUNTIF(D10:D24,"C")</f>
        <v>3</v>
      </c>
      <c r="C33" s="6" t="n">
        <v>15</v>
      </c>
      <c r="D33" s="7" t="n">
        <f aca="false">B33*C33</f>
        <v>45</v>
      </c>
    </row>
    <row r="34" customFormat="false" ht="15" hidden="false" customHeight="false" outlineLevel="0" collapsed="false">
      <c r="A34" s="2" t="s">
        <v>348</v>
      </c>
      <c r="B34" s="2"/>
      <c r="C34" s="2"/>
      <c r="D34" s="7" t="n">
        <f aca="false">SUM(D31:D33)</f>
        <v>140</v>
      </c>
    </row>
    <row r="35" customFormat="false" ht="15" hidden="false" customHeight="false" outlineLevel="0" collapsed="false">
      <c r="A35" s="2" t="s">
        <v>349</v>
      </c>
      <c r="B35" s="2"/>
      <c r="C35" s="2"/>
      <c r="D35" s="7" t="n">
        <f aca="false">D30+D34</f>
        <v>151</v>
      </c>
    </row>
    <row r="36" customFormat="false" ht="15" hidden="false" customHeight="false" outlineLevel="0" collapsed="false">
      <c r="A36" s="2" t="s">
        <v>350</v>
      </c>
      <c r="B36" s="6" t="n">
        <f aca="false">p2_tcf</f>
        <v>0.9</v>
      </c>
      <c r="C36" s="6" t="n">
        <f aca="false">p2_ecf</f>
        <v>0.9</v>
      </c>
      <c r="D36" s="7" t="n">
        <f aca="false">B36*C36</f>
        <v>0.81</v>
      </c>
    </row>
    <row r="37" customFormat="false" ht="15" hidden="false" customHeight="false" outlineLevel="0" collapsed="false">
      <c r="A37" s="2" t="s">
        <v>351</v>
      </c>
      <c r="B37" s="2"/>
      <c r="C37" s="2"/>
      <c r="D37" s="7" t="n">
        <f aca="false">D35*D36</f>
        <v>122.31</v>
      </c>
    </row>
    <row r="38" customFormat="false" ht="15" hidden="false" customHeight="false" outlineLevel="0" collapsed="false">
      <c r="A38" s="2" t="s">
        <v>352</v>
      </c>
      <c r="B38" s="6" t="n">
        <f aca="false">p2_pf</f>
        <v>22</v>
      </c>
      <c r="C38" s="2"/>
      <c r="D38" s="7" t="n">
        <f aca="false">p2_pf</f>
        <v>22</v>
      </c>
    </row>
    <row r="39" customFormat="false" ht="15" hidden="false" customHeight="false" outlineLevel="0" collapsed="false">
      <c r="A39" s="2" t="s">
        <v>353</v>
      </c>
      <c r="B39" s="2"/>
      <c r="C39" s="2"/>
      <c r="D39" s="7" t="n">
        <f aca="false">D37*D38</f>
        <v>2690.82</v>
      </c>
    </row>
    <row r="40" customFormat="false" ht="15" hidden="false" customHeight="false" outlineLevel="0" collapsed="false">
      <c r="A40" s="2" t="s">
        <v>354</v>
      </c>
      <c r="B40" s="2"/>
      <c r="C40" s="2"/>
      <c r="D40" s="7" t="n">
        <f aca="false">D37*p2_pf*0.8</f>
        <v>2152.656</v>
      </c>
    </row>
    <row r="41" customFormat="false" ht="15" hidden="false" customHeight="false" outlineLevel="0" collapsed="false">
      <c r="A41" s="2" t="s">
        <v>355</v>
      </c>
      <c r="B41" s="2"/>
      <c r="C41" s="2"/>
      <c r="D41" s="7" t="n">
        <f aca="false">D37*p2_pf*1.2</f>
        <v>3228.984</v>
      </c>
    </row>
    <row r="43" customFormat="false" ht="15" hidden="false" customHeight="false" outlineLevel="0" collapsed="false">
      <c r="A43" s="1" t="s">
        <v>56</v>
      </c>
      <c r="B43" s="1" t="s">
        <v>356</v>
      </c>
      <c r="C43" s="1" t="s">
        <v>357</v>
      </c>
      <c r="D43" s="1" t="s">
        <v>358</v>
      </c>
      <c r="E43" s="1" t="s">
        <v>359</v>
      </c>
      <c r="F43" s="1" t="s">
        <v>360</v>
      </c>
    </row>
    <row r="44" customFormat="false" ht="15" hidden="false" customHeight="false" outlineLevel="0" collapsed="false">
      <c r="A44" s="2" t="s">
        <v>61</v>
      </c>
      <c r="B44" s="19" t="n">
        <f aca="false">'WBS і CPM'!E23/'WBS і CPM'!J23</f>
        <v>0.101251422070535</v>
      </c>
      <c r="C44" s="8" t="n">
        <f aca="false">ucp_effort*B44</f>
        <v>272.449351535836</v>
      </c>
      <c r="D44" s="8" t="n">
        <f aca="false">C44/cap_BA</f>
        <v>19.4606679668454</v>
      </c>
      <c r="E44" s="8" t="n">
        <f aca="false">D44*0.8</f>
        <v>15.5685343734764</v>
      </c>
      <c r="F44" s="8" t="n">
        <f aca="false">D44*1.2</f>
        <v>23.3528015602145</v>
      </c>
    </row>
    <row r="45" customFormat="false" ht="15" hidden="false" customHeight="false" outlineLevel="0" collapsed="false">
      <c r="A45" s="2" t="s">
        <v>63</v>
      </c>
      <c r="B45" s="19" t="n">
        <f aca="false">'WBS і CPM'!F23/'WBS і CPM'!J23</f>
        <v>0.285551763367463</v>
      </c>
      <c r="C45" s="8" t="n">
        <f aca="false">ucp_effort*B45</f>
        <v>768.368395904437</v>
      </c>
      <c r="D45" s="8" t="n">
        <f aca="false">C45/cap_D1</f>
        <v>27.4417284251585</v>
      </c>
      <c r="E45" s="8" t="n">
        <f aca="false">D45*0.8</f>
        <v>21.9533827401268</v>
      </c>
      <c r="F45" s="8" t="n">
        <f aca="false">D45*1.2</f>
        <v>32.9300741101902</v>
      </c>
    </row>
    <row r="46" customFormat="false" ht="15" hidden="false" customHeight="false" outlineLevel="0" collapsed="false">
      <c r="A46" s="2" t="s">
        <v>65</v>
      </c>
      <c r="B46" s="19" t="n">
        <f aca="false">'WBS і CPM'!G23/'WBS і CPM'!J23</f>
        <v>0.310580204778157</v>
      </c>
      <c r="C46" s="8" t="n">
        <f aca="false">ucp_effort*B46</f>
        <v>835.715426621161</v>
      </c>
      <c r="D46" s="8" t="n">
        <f aca="false">C46/cap_D2</f>
        <v>29.8469795221843</v>
      </c>
      <c r="E46" s="8" t="n">
        <f aca="false">D46*0.8</f>
        <v>23.8775836177474</v>
      </c>
      <c r="F46" s="8" t="n">
        <f aca="false">D46*1.2</f>
        <v>35.8163754266212</v>
      </c>
    </row>
    <row r="47" customFormat="false" ht="15" hidden="false" customHeight="false" outlineLevel="0" collapsed="false">
      <c r="A47" s="2" t="s">
        <v>67</v>
      </c>
      <c r="B47" s="19" t="n">
        <f aca="false">'WBS і CPM'!H23/'WBS і CPM'!J23</f>
        <v>0.197952218430034</v>
      </c>
      <c r="C47" s="8" t="n">
        <f aca="false">ucp_effort*B47</f>
        <v>532.653788395905</v>
      </c>
      <c r="D47" s="8" t="n">
        <f aca="false">C47/cap_QA</f>
        <v>25.3644661140907</v>
      </c>
      <c r="E47" s="8" t="n">
        <f aca="false">D47*0.8</f>
        <v>20.2915728912726</v>
      </c>
      <c r="F47" s="8" t="n">
        <f aca="false">D47*1.2</f>
        <v>30.4373593369088</v>
      </c>
    </row>
    <row r="48" customFormat="false" ht="15" hidden="false" customHeight="false" outlineLevel="0" collapsed="false">
      <c r="A48" s="2" t="s">
        <v>69</v>
      </c>
      <c r="B48" s="19" t="n">
        <f aca="false">'WBS і CPM'!I23/'WBS і CPM'!J23</f>
        <v>0.104664391353811</v>
      </c>
      <c r="C48" s="8" t="n">
        <f aca="false">ucp_effort*B48</f>
        <v>281.633037542662</v>
      </c>
      <c r="D48" s="8" t="n">
        <f aca="false">C48/cap_OPS</f>
        <v>20.1166455387616</v>
      </c>
      <c r="E48" s="8" t="n">
        <f aca="false">D48*0.8</f>
        <v>16.0933164310093</v>
      </c>
      <c r="F48" s="8" t="n">
        <f aca="false">D48*1.2</f>
        <v>24.1399746465139</v>
      </c>
    </row>
    <row r="49" customFormat="false" ht="15" hidden="false" customHeight="false" outlineLevel="0" collapsed="false">
      <c r="A49" s="2" t="s">
        <v>361</v>
      </c>
      <c r="B49" s="19" t="n">
        <f aca="false">B45+B46</f>
        <v>0.59613196814562</v>
      </c>
      <c r="C49" s="8" t="n">
        <f aca="false">C45+C46</f>
        <v>1604.0838225256</v>
      </c>
      <c r="D49" s="8" t="n">
        <f aca="false">C49/(cap_D1+cap_D2)</f>
        <v>28.6443539736714</v>
      </c>
      <c r="E49" s="8" t="n">
        <f aca="false">D49*0.8</f>
        <v>22.9154831789371</v>
      </c>
      <c r="F49" s="8" t="n">
        <f aca="false">D49*1.2</f>
        <v>34.3732247684057</v>
      </c>
    </row>
    <row r="50" customFormat="false" ht="15" hidden="false" customHeight="false" outlineLevel="0" collapsed="false">
      <c r="A50" s="2" t="s">
        <v>362</v>
      </c>
      <c r="B50" s="20"/>
      <c r="C50" s="8" t="n">
        <f aca="false">ucp_effort</f>
        <v>2690.82</v>
      </c>
      <c r="D50" s="8" t="n">
        <f aca="false">ucp_effort/team_week</f>
        <v>25.6268571428571</v>
      </c>
      <c r="E50" s="8" t="n">
        <f aca="false">D50*0.8</f>
        <v>20.5014857142857</v>
      </c>
      <c r="F50" s="8" t="n">
        <f aca="false">D50*1.2</f>
        <v>30.7522285714286</v>
      </c>
    </row>
    <row r="51" customFormat="false" ht="15" hidden="false" customHeight="false" outlineLevel="0" collapsed="false">
      <c r="A51" s="2" t="s">
        <v>363</v>
      </c>
      <c r="B51" s="20"/>
      <c r="C51" s="21"/>
      <c r="D51" s="8" t="n">
        <f aca="false">MAX(D49,D44,D47,D48)</f>
        <v>28.6443539736714</v>
      </c>
      <c r="E51" s="8" t="n">
        <f aca="false">D51*0.8</f>
        <v>22.9154831789371</v>
      </c>
      <c r="F51" s="8" t="n">
        <f aca="false">D51*1.2</f>
        <v>34.3732247684057</v>
      </c>
    </row>
    <row r="52" customFormat="false" ht="15" hidden="false" customHeight="false" outlineLevel="0" collapsed="false">
      <c r="A52" s="2" t="s">
        <v>364</v>
      </c>
      <c r="B52" s="20"/>
      <c r="C52" s="21"/>
      <c r="D52" s="8" t="n">
        <f aca="false">D51/p2_util</f>
        <v>33.6992399690252</v>
      </c>
      <c r="E52" s="8" t="n">
        <f aca="false">D52*0.8</f>
        <v>26.9593919752201</v>
      </c>
      <c r="F52" s="8" t="n">
        <f aca="false">D52*1.2</f>
        <v>40.4390879628302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23.85" hidden="false" customHeight="false" outlineLevel="0" collapsed="false">
      <c r="A1" s="1" t="s">
        <v>56</v>
      </c>
      <c r="B1" s="1" t="s">
        <v>58</v>
      </c>
      <c r="C1" s="1" t="s">
        <v>60</v>
      </c>
      <c r="D1" s="1" t="s">
        <v>365</v>
      </c>
      <c r="E1" s="1" t="s">
        <v>366</v>
      </c>
      <c r="F1" s="1" t="s">
        <v>367</v>
      </c>
    </row>
    <row r="2" customFormat="false" ht="15" hidden="false" customHeight="false" outlineLevel="0" collapsed="false">
      <c r="A2" s="2" t="s">
        <v>61</v>
      </c>
      <c r="B2" s="6" t="n">
        <v>0.5</v>
      </c>
      <c r="C2" s="8" t="n">
        <f aca="false">cap_BA</f>
        <v>14</v>
      </c>
      <c r="D2" s="8" t="n">
        <f aca="false">SUMPRODUCT('WBS і CPM'!E2:E21,'WBS і CPM'!N2:N21/'WBS і CPM'!L2:L21)</f>
        <v>188.5911001961</v>
      </c>
      <c r="E2" s="8" t="n">
        <f aca="false">C2*bl_days/p2_days_week</f>
        <v>369.6</v>
      </c>
      <c r="F2" s="19" t="n">
        <f aca="false">D2/E2</f>
        <v>0.510257305725379</v>
      </c>
    </row>
    <row r="3" customFormat="false" ht="15" hidden="false" customHeight="false" outlineLevel="0" collapsed="false">
      <c r="A3" s="2" t="s">
        <v>63</v>
      </c>
      <c r="B3" s="6" t="n">
        <v>1</v>
      </c>
      <c r="C3" s="8" t="n">
        <f aca="false">cap_D1</f>
        <v>28</v>
      </c>
      <c r="D3" s="8" t="n">
        <f aca="false">SUMPRODUCT('WBS і CPM'!F2:F21,'WBS і CPM'!N2:N21/'WBS і CPM'!L2:L21)</f>
        <v>541.885215340215</v>
      </c>
      <c r="E3" s="8" t="n">
        <f aca="false">C3*bl_days/p2_days_week</f>
        <v>739.2</v>
      </c>
      <c r="F3" s="19" t="n">
        <f aca="false">D3/E3</f>
        <v>0.733069825947261</v>
      </c>
    </row>
    <row r="4" customFormat="false" ht="15" hidden="false" customHeight="false" outlineLevel="0" collapsed="false">
      <c r="A4" s="2" t="s">
        <v>65</v>
      </c>
      <c r="B4" s="6" t="n">
        <v>1</v>
      </c>
      <c r="C4" s="8" t="n">
        <f aca="false">cap_D2</f>
        <v>28</v>
      </c>
      <c r="D4" s="8" t="n">
        <f aca="false">SUMPRODUCT('WBS і CPM'!G2:G21,'WBS і CPM'!N2:N21/'WBS і CPM'!L2:L21)</f>
        <v>579.365488215488</v>
      </c>
      <c r="E4" s="8" t="n">
        <f aca="false">C4*bl_days/p2_days_week</f>
        <v>739.2</v>
      </c>
      <c r="F4" s="19" t="n">
        <f aca="false">D4/E4</f>
        <v>0.783773658300173</v>
      </c>
    </row>
    <row r="5" customFormat="false" ht="15" hidden="false" customHeight="false" outlineLevel="0" collapsed="false">
      <c r="A5" s="2" t="s">
        <v>67</v>
      </c>
      <c r="B5" s="6" t="n">
        <v>0.75</v>
      </c>
      <c r="C5" s="8" t="n">
        <f aca="false">cap_QA</f>
        <v>21</v>
      </c>
      <c r="D5" s="8" t="n">
        <f aca="false">SUMPRODUCT('WBS і CPM'!H2:H21,'WBS і CPM'!N2:N21/'WBS і CPM'!L2:L21)</f>
        <v>369.923295963296</v>
      </c>
      <c r="E5" s="8" t="n">
        <f aca="false">C5*bl_days/p2_days_week</f>
        <v>554.4</v>
      </c>
      <c r="F5" s="19" t="n">
        <f aca="false">D5/E5</f>
        <v>0.667249812343608</v>
      </c>
    </row>
    <row r="6" customFormat="false" ht="15" hidden="false" customHeight="false" outlineLevel="0" collapsed="false">
      <c r="A6" s="2" t="s">
        <v>69</v>
      </c>
      <c r="B6" s="6" t="n">
        <v>0.5</v>
      </c>
      <c r="C6" s="8" t="n">
        <f aca="false">cap_OPS</f>
        <v>14</v>
      </c>
      <c r="D6" s="8" t="n">
        <f aca="false">SUMPRODUCT('WBS і CPM'!I2:I21,'WBS і CPM'!N2:N21/'WBS і CPM'!L2:L21)</f>
        <v>194.372807377807</v>
      </c>
      <c r="E6" s="8" t="n">
        <f aca="false">C6*bl_days/p2_days_week</f>
        <v>369.6</v>
      </c>
      <c r="F6" s="19" t="n">
        <f aca="false">D6/E6</f>
        <v>0.525900452862033</v>
      </c>
    </row>
    <row r="7" customFormat="false" ht="15" hidden="false" customHeight="false" outlineLevel="0" collapsed="false">
      <c r="A7" s="2" t="s">
        <v>368</v>
      </c>
      <c r="B7" s="6" t="n">
        <f aca="false">SUM(B2:B6)</f>
        <v>3.75</v>
      </c>
      <c r="C7" s="8" t="n">
        <f aca="false">SUM(C2:C6)</f>
        <v>105</v>
      </c>
      <c r="D7" s="8" t="n">
        <f aca="false">SUM(D2:D6)</f>
        <v>1874.13790709291</v>
      </c>
      <c r="E7" s="8" t="n">
        <f aca="false">SUM(E2:E6)</f>
        <v>2772</v>
      </c>
      <c r="F7" s="19" t="n">
        <f aca="false">D7/E7</f>
        <v>0.676095926079692</v>
      </c>
    </row>
    <row r="9" customFormat="false" ht="15" hidden="false" customHeight="false" outlineLevel="0" collapsed="false">
      <c r="A9" s="1" t="s">
        <v>369</v>
      </c>
      <c r="B9" s="1" t="s">
        <v>370</v>
      </c>
      <c r="C9" s="1" t="s">
        <v>371</v>
      </c>
    </row>
    <row r="10" customFormat="false" ht="15" hidden="false" customHeight="false" outlineLevel="0" collapsed="false">
      <c r="A10" s="2" t="s">
        <v>372</v>
      </c>
      <c r="B10" s="7" t="n">
        <f aca="false">MAX('WBS і CPM'!S2)</f>
        <v>8.33333333333333</v>
      </c>
      <c r="C10" s="18" t="n">
        <f aca="false">WORKDAY(p2_start,ROUNDUP(B10,0)-1,p2_holidays)</f>
        <v>46338</v>
      </c>
    </row>
    <row r="11" customFormat="false" ht="15" hidden="false" customHeight="false" outlineLevel="0" collapsed="false">
      <c r="A11" s="2" t="s">
        <v>373</v>
      </c>
      <c r="B11" s="7" t="n">
        <f aca="false">MAX('WBS і CPM'!S3)</f>
        <v>21.6666666666667</v>
      </c>
      <c r="C11" s="18" t="n">
        <f aca="false">WORKDAY(p2_start,ROUNDUP(B11,0)-1,p2_holidays)</f>
        <v>46357</v>
      </c>
    </row>
    <row r="12" customFormat="false" ht="15" hidden="false" customHeight="false" outlineLevel="0" collapsed="false">
      <c r="A12" s="2" t="s">
        <v>374</v>
      </c>
      <c r="B12" s="7" t="n">
        <f aca="false">MAX('WBS і CPM'!S5,'WBS і CPM'!S6,'WBS і CPM'!S7,'WBS і CPM'!S8,'WBS і CPM'!S9,'WBS і CPM'!S10,'WBS і CPM'!S11,'WBS і CPM'!S12,'WBS і CPM'!S13,'WBS і CPM'!S14,'WBS і CPM'!S15)</f>
        <v>98.1666666666667</v>
      </c>
      <c r="C12" s="18" t="n">
        <f aca="false">WORKDAY(p2_start,ROUNDUP(B12,0)-1,p2_holidays)</f>
        <v>46468</v>
      </c>
    </row>
    <row r="13" customFormat="false" ht="15" hidden="false" customHeight="false" outlineLevel="0" collapsed="false">
      <c r="A13" s="2" t="s">
        <v>375</v>
      </c>
      <c r="B13" s="7" t="n">
        <f aca="false">MAX('WBS і CPM'!S18)</f>
        <v>120</v>
      </c>
      <c r="C13" s="18" t="n">
        <f aca="false">WORKDAY(p2_start,ROUNDUP(B13,0)-1,p2_holidays)</f>
        <v>46497</v>
      </c>
    </row>
    <row r="14" customFormat="false" ht="15" hidden="false" customHeight="false" outlineLevel="0" collapsed="false">
      <c r="A14" s="2" t="s">
        <v>376</v>
      </c>
      <c r="B14" s="7" t="n">
        <f aca="false">MAX('WBS і CPM'!S21)</f>
        <v>125.333333333333</v>
      </c>
      <c r="C14" s="18" t="n">
        <f aca="false">WORKDAY(p2_start,ROUNDUP(B14,0)-1,p2_holidays)</f>
        <v>46505</v>
      </c>
    </row>
    <row r="15" customFormat="false" ht="15" hidden="false" customHeight="false" outlineLevel="0" collapsed="false">
      <c r="A15" s="2" t="s">
        <v>377</v>
      </c>
      <c r="B15" s="7" t="n">
        <f aca="false">bl_days</f>
        <v>132</v>
      </c>
      <c r="C15" s="18" t="n">
        <f aca="false">WORKDAY(p2_start,bl_days-1,p2_holidays)</f>
        <v>46513</v>
      </c>
    </row>
    <row r="16" customFormat="false" ht="15" hidden="false" customHeight="false" outlineLevel="0" collapsed="false">
      <c r="A16" s="2" t="s">
        <v>378</v>
      </c>
      <c r="B16" s="6" t="n">
        <f aca="false">bl_days+p2_mr</f>
        <v>147</v>
      </c>
      <c r="C16" s="18" t="n">
        <f aca="false">WORKDAY(p2_start,bl_days+p2_mr-1,p2_holidays)</f>
        <v>46534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6"/>
    <col collapsed="false" customWidth="true" hidden="false" outlineLevel="0" max="6" min="4" style="0" width="14"/>
  </cols>
  <sheetData>
    <row r="1" customFormat="false" ht="15" hidden="false" customHeight="false" outlineLevel="0" collapsed="false">
      <c r="A1" s="1" t="s">
        <v>379</v>
      </c>
      <c r="B1" s="1" t="s">
        <v>380</v>
      </c>
      <c r="C1" s="1" t="s">
        <v>357</v>
      </c>
      <c r="D1" s="1" t="s">
        <v>381</v>
      </c>
      <c r="E1" s="1" t="s">
        <v>382</v>
      </c>
      <c r="F1" s="1" t="s">
        <v>383</v>
      </c>
    </row>
    <row r="2" customFormat="false" ht="15" hidden="false" customHeight="false" outlineLevel="0" collapsed="false">
      <c r="A2" s="2" t="s">
        <v>384</v>
      </c>
      <c r="B2" s="6" t="str">
        <f aca="false">COUNTA('WBS і CPM'!A2:A21)&amp;" пакетів"</f>
        <v>20 пакетів</v>
      </c>
      <c r="C2" s="8" t="n">
        <f aca="false">'WBS і CPM'!Q23</f>
        <v>1874.13790709291</v>
      </c>
      <c r="D2" s="8" t="n">
        <f aca="false">SUMIF('WBS і CPM'!W2:W21,"так",'WBS і CPM'!K2:K21)/p2_days_week</f>
        <v>17.8</v>
      </c>
      <c r="E2" s="8" t="n">
        <f aca="false">bl_p50/p2_days_week</f>
        <v>25.0666666666667</v>
      </c>
      <c r="F2" s="8" t="n">
        <f aca="false">bl_days/p2_days_week</f>
        <v>26.4</v>
      </c>
    </row>
    <row r="3" customFormat="false" ht="15" hidden="false" customHeight="false" outlineLevel="0" collapsed="false">
      <c r="A3" s="2" t="s">
        <v>385</v>
      </c>
      <c r="B3" s="6" t="str">
        <f aca="false">'Backlog і velocity'!C14&amp;" SP"</f>
        <v>116 SP</v>
      </c>
      <c r="C3" s="21" t="s">
        <v>386</v>
      </c>
      <c r="D3" s="8" t="n">
        <f aca="false">'Backlog і velocity'!E30</f>
        <v>21.7666666666667</v>
      </c>
      <c r="E3" s="8" t="n">
        <f aca="false">'Backlog і velocity'!E31</f>
        <v>23.7666666666667</v>
      </c>
      <c r="F3" s="8" t="n">
        <f aca="false">'Backlog і velocity'!E32</f>
        <v>25.7666666666667</v>
      </c>
    </row>
    <row r="4" customFormat="false" ht="15" hidden="false" customHeight="false" outlineLevel="0" collapsed="false">
      <c r="A4" s="2" t="s">
        <v>387</v>
      </c>
      <c r="B4" s="6" t="str">
        <f aca="false">TEXT(ucp_val,"0.00")&amp;" UCP"</f>
        <v>122,31 UCP</v>
      </c>
      <c r="C4" s="8" t="n">
        <f aca="false">ucp_effort</f>
        <v>2690.82</v>
      </c>
      <c r="D4" s="8" t="n">
        <f aca="false">UCP!E52</f>
        <v>26.9593919752201</v>
      </c>
      <c r="E4" s="8" t="n">
        <f aca="false">ucp_weeks</f>
        <v>33.6992399690252</v>
      </c>
      <c r="F4" s="8" t="n">
        <f aca="false">UCP!F52</f>
        <v>40.4390879628302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2026-10-05T16:27:13Z</dcterms:created>
  <dc:creator>openpyxl</dc:creator>
  <dc:description/>
  <dc:language>uk-UA</dc:language>
  <cp:lastModifiedBy/>
  <dcterms:modified xsi:type="dcterms:W3CDTF">2026-10-05T16:27:13Z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