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араметри ЛР2" sheetId="1" state="visible" r:id="rId1"/>
    <sheet xmlns:r="http://schemas.openxmlformats.org/officeDocument/2006/relationships" name="Журнал scope" sheetId="2" state="visible" r:id="rId2"/>
    <sheet xmlns:r="http://schemas.openxmlformats.org/officeDocument/2006/relationships" name="WBS і CPM" sheetId="3" state="visible" r:id="rId3"/>
    <sheet xmlns:r="http://schemas.openxmlformats.org/officeDocument/2006/relationships" name="PERT і резерв" sheetId="4" state="visible" r:id="rId4"/>
    <sheet xmlns:r="http://schemas.openxmlformats.org/officeDocument/2006/relationships" name="Backlog і velocity" sheetId="5" state="visible" r:id="rId5"/>
    <sheet xmlns:r="http://schemas.openxmlformats.org/officeDocument/2006/relationships" name="UCP" sheetId="6" state="visible" r:id="rId6"/>
    <sheet xmlns:r="http://schemas.openxmlformats.org/officeDocument/2006/relationships" name="Календар" sheetId="7" state="visible" r:id="rId7"/>
    <sheet xmlns:r="http://schemas.openxmlformats.org/officeDocument/2006/relationships" name="Порівняння" sheetId="8" state="visible" r:id="rId8"/>
  </sheets>
  <definedNames>
    <definedName name="p2_start">'Параметри ЛР2'!$C$2</definedName>
    <definedName name="p2_hours">'Параметри ЛР2'!$C$3</definedName>
    <definedName name="p2_focus">'Параметри ЛР2'!$C$4</definedName>
    <definedName name="p2_days_week">'Параметри ЛР2'!$C$5</definedName>
    <definedName name="p2_z80">'Параметри ЛР2'!$C$6</definedName>
    <definedName name="p2_backlog">'Параметри ЛР2'!$C$7</definedName>
    <definedName name="p2_sprint">'Параметри ЛР2'!$C$8</definedName>
    <definedName name="p2_tcf">'Параметри ЛР2'!$C$9</definedName>
    <definedName name="p2_ecf">'Параметри ЛР2'!$C$10</definedName>
    <definedName name="p2_pf">'Параметри ЛР2'!$C$11</definedName>
    <definedName name="p2_util">'Параметри ЛР2'!$C$12</definedName>
    <definedName name="p2_mr">'Параметри ЛР2'!$C$13</definedName>
    <definedName name="p2_mc_p50">'Параметри ЛР2'!$C$14</definedName>
    <definedName name="p2_mc_p80">'Параметри ЛР2'!$C$15</definedName>
    <definedName name="p2_holidays">'Параметри ЛР2'!$A$18:$A$19</definedName>
    <definedName name="cap_BA">'Параметри ЛР2'!$E$22</definedName>
    <definedName name="capd_BA">'Параметри ЛР2'!$D$22</definedName>
    <definedName name="cap_D1">'Параметри ЛР2'!$E$23</definedName>
    <definedName name="capd_D1">'Параметри ЛР2'!$D$23</definedName>
    <definedName name="cap_D2">'Параметри ЛР2'!$E$24</definedName>
    <definedName name="capd_D2">'Параметри ЛР2'!$D$24</definedName>
    <definedName name="cap_QA">'Параметри ЛР2'!$E$25</definedName>
    <definedName name="capd_QA">'Параметри ЛР2'!$D$25</definedName>
    <definedName name="cap_OPS">'Параметри ЛР2'!$E$26</definedName>
    <definedName name="capd_OPS">'Параметри ЛР2'!$D$26</definedName>
    <definedName name="team_week">'Параметри ЛР2'!$E$27</definedName>
    <definedName name="team_day">'Параметри ЛР2'!$D$27</definedName>
    <definedName name="proj_end">'WBS і CPM'!$S$23</definedName>
    <definedName name="bl_days">'PERT і резерв'!$B$18</definedName>
    <definedName name="bl_p50">'PERT і резерв'!$B$13</definedName>
    <definedName name="bl_p80">'PERT і резерв'!$B$14</definedName>
    <definedName name="ucp_val">UCP!$D$37</definedName>
    <definedName name="ucp_effort">UCP!$D$39</definedName>
    <definedName name="ucp_weeks">UCP!$D$52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.MM.YYYY"/>
    <numFmt numFmtId="166" formatCode="0.000"/>
    <numFmt numFmtId="167" formatCode="0.0"/>
    <numFmt numFmtId="168" formatCode="DD.MM.YY"/>
    <numFmt numFmtId="169" formatCode="0.0%"/>
  </numFmts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C2410C"/>
      <sz val="10"/>
    </font>
  </fonts>
  <fills count="4">
    <fill>
      <patternFill/>
    </fill>
    <fill>
      <patternFill patternType="gray125"/>
    </fill>
    <fill>
      <patternFill patternType="solid">
        <fgColor rgb="00fff4d6"/>
      </patternFill>
    </fill>
    <fill>
      <patternFill patternType="solid">
        <fgColor rgb="00dce8f7"/>
      </patternFill>
    </fill>
  </fills>
  <borders count="2">
    <border>
      <left/>
      <right/>
      <top/>
      <bottom/>
      <diagonal/>
    </border>
    <border>
      <left style="thin">
        <color rgb="009a9890"/>
      </left>
      <right style="thin">
        <color rgb="009a9890"/>
      </right>
      <top style="thin">
        <color rgb="009a9890"/>
      </top>
      <bottom style="thin">
        <color rgb="009a989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165" fontId="2" fillId="2" borderId="1" applyAlignment="1" pivotButton="0" quotePrefix="0" xfId="0">
      <alignment vertical="top" wrapText="1"/>
    </xf>
    <xf numFmtId="0" fontId="2" fillId="2" borderId="1" applyAlignment="1" pivotButton="0" quotePrefix="0" xfId="0">
      <alignment horizontal="right" vertical="top" wrapText="1"/>
    </xf>
    <xf numFmtId="166" fontId="2" fillId="2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right" vertical="top" wrapText="1"/>
    </xf>
    <xf numFmtId="2" fontId="2" fillId="0" borderId="1" applyAlignment="1" pivotButton="0" quotePrefix="0" xfId="0">
      <alignment horizontal="right" vertical="top" wrapText="1"/>
    </xf>
    <xf numFmtId="167" fontId="2" fillId="0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vertical="top" wrapText="1"/>
    </xf>
    <xf numFmtId="1" fontId="2" fillId="0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right" vertical="top" wrapText="1"/>
    </xf>
    <xf numFmtId="168" fontId="2" fillId="0" borderId="1" applyAlignment="1" pivotButton="0" quotePrefix="0" xfId="0">
      <alignment horizontal="right" vertical="top" wrapText="1"/>
    </xf>
    <xf numFmtId="2" fontId="0" fillId="0" borderId="0" pivotButton="0" quotePrefix="0" xfId="0"/>
    <xf numFmtId="1" fontId="0" fillId="0" borderId="0" pivotButton="0" quotePrefix="0" xfId="0"/>
    <xf numFmtId="168" fontId="0" fillId="0" borderId="0" pivotButton="0" quotePrefix="0" xfId="0"/>
    <xf numFmtId="2" fontId="2" fillId="0" borderId="1" applyAlignment="1" pivotButton="0" quotePrefix="0" xfId="0">
      <alignment vertical="top" wrapText="1"/>
    </xf>
    <xf numFmtId="168" fontId="2" fillId="0" borderId="1" applyAlignment="1" pivotButton="0" quotePrefix="0" xfId="0">
      <alignment vertical="top" wrapText="1"/>
    </xf>
    <xf numFmtId="165" fontId="2" fillId="0" borderId="1" applyAlignment="1" pivotButton="0" quotePrefix="0" xfId="0">
      <alignment horizontal="right" vertical="top" wrapText="1"/>
    </xf>
    <xf numFmtId="169" fontId="2" fillId="0" borderId="1" applyAlignment="1" pivotButton="0" quotePrefix="0" xfId="0">
      <alignment horizontal="right" vertical="top" wrapText="1"/>
    </xf>
    <xf numFmtId="169" fontId="2" fillId="0" borderId="1" applyAlignment="1" pivotButton="0" quotePrefix="0" xfId="0">
      <alignment vertical="top" wrapText="1"/>
    </xf>
    <xf numFmtId="167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2" customWidth="1" min="3" max="3"/>
    <col width="14" customWidth="1" min="4" max="4"/>
    <col width="12" customWidth="1" min="5" max="5"/>
    <col width="50" customWidth="1" min="6" max="6"/>
  </cols>
  <sheetData>
    <row r="1">
      <c r="A1" s="1" t="inlineStr">
        <is>
          <t>Ім'я</t>
        </is>
      </c>
      <c r="B1" s="1" t="inlineStr">
        <is>
          <t>Показник</t>
        </is>
      </c>
      <c r="C1" s="1" t="inlineStr">
        <is>
          <t>Значення</t>
        </is>
      </c>
      <c r="D1" s="1" t="inlineStr">
        <is>
          <t>Одиниця</t>
        </is>
      </c>
      <c r="E1" s="1" t="inlineStr">
        <is>
          <t>Тип</t>
        </is>
      </c>
      <c r="F1" s="1" t="inlineStr">
        <is>
          <t>Пояснення</t>
        </is>
      </c>
    </row>
    <row r="2">
      <c r="A2" s="2" t="inlineStr">
        <is>
          <t>p2_start</t>
        </is>
      </c>
      <c r="B2" s="2" t="inlineStr">
        <is>
          <t>Дата старту проєкту</t>
        </is>
      </c>
      <c r="C2" s="3" t="n">
        <v>46328</v>
      </c>
      <c r="D2" s="2" t="inlineStr">
        <is>
          <t>дата</t>
        </is>
      </c>
      <c r="E2" s="2" t="inlineStr">
        <is>
          <t>П</t>
        </is>
      </c>
      <c r="F2" s="2" t="inlineStr">
        <is>
          <t>після тестів A1, A2, A5 з ЛР № 1</t>
        </is>
      </c>
    </row>
    <row r="3">
      <c r="A3" s="2" t="inlineStr">
        <is>
          <t>p2_hours</t>
        </is>
      </c>
      <c r="B3" s="2" t="inlineStr">
        <is>
          <t>Годин у робочому дні</t>
        </is>
      </c>
      <c r="C3" s="4" t="n">
        <v>8</v>
      </c>
      <c r="D3" s="2" t="inlineStr">
        <is>
          <t>год</t>
        </is>
      </c>
      <c r="E3" s="2" t="inlineStr">
        <is>
          <t>П</t>
        </is>
      </c>
      <c r="F3" s="2" t="inlineStr">
        <is>
          <t>повний робочий день</t>
        </is>
      </c>
    </row>
    <row r="4">
      <c r="A4" s="2" t="inlineStr">
        <is>
          <t>p2_focus</t>
        </is>
      </c>
      <c r="B4" s="2" t="inlineStr">
        <is>
          <t>Частка продуктивного часу</t>
        </is>
      </c>
      <c r="C4" s="4" t="n">
        <v>0.7</v>
      </c>
      <c r="D4" s="2" t="inlineStr">
        <is>
          <t>частка</t>
        </is>
      </c>
      <c r="E4" s="2" t="inlineStr">
        <is>
          <t>П</t>
        </is>
      </c>
      <c r="F4" s="2" t="inlineStr">
        <is>
          <t>30% наради, церемонії, комунікація; 3,75 FTE × 40 × 0,7 = 105</t>
        </is>
      </c>
    </row>
    <row r="5">
      <c r="A5" s="2" t="inlineStr">
        <is>
          <t>p2_days_week</t>
        </is>
      </c>
      <c r="B5" s="2" t="inlineStr">
        <is>
          <t>Робочих днів на тиждень</t>
        </is>
      </c>
      <c r="C5" s="4" t="n">
        <v>5</v>
      </c>
      <c r="D5" s="2" t="inlineStr">
        <is>
          <t>днів</t>
        </is>
      </c>
      <c r="E5" s="2" t="inlineStr">
        <is>
          <t>П</t>
        </is>
      </c>
      <c r="F5" s="2" t="inlineStr"/>
    </row>
    <row r="6">
      <c r="A6" s="2" t="inlineStr">
        <is>
          <t>p2_z80</t>
        </is>
      </c>
      <c r="B6" s="2" t="inlineStr">
        <is>
          <t>Квантиль N(0;1) рівня 0,8</t>
        </is>
      </c>
      <c r="C6" s="5">
        <f>NORMSINV(0.8)</f>
        <v/>
      </c>
      <c r="D6" s="2" t="inlineStr"/>
      <c r="E6" s="2" t="inlineStr">
        <is>
          <t>Д</t>
        </is>
      </c>
      <c r="F6" s="2" t="inlineStr">
        <is>
          <t>методичка: 0,842</t>
        </is>
      </c>
    </row>
    <row r="7">
      <c r="A7" s="2" t="inlineStr">
        <is>
          <t>p2_backlog</t>
        </is>
      </c>
      <c r="B7" s="2" t="inlineStr">
        <is>
          <t>Backlog</t>
        </is>
      </c>
      <c r="C7" s="4" t="n">
        <v>116</v>
      </c>
      <c r="D7" s="2" t="inlineStr">
        <is>
          <t>SP</t>
        </is>
      </c>
      <c r="E7" s="2" t="inlineStr">
        <is>
          <t>Д</t>
        </is>
      </c>
      <c r="F7" s="2" t="inlineStr">
        <is>
          <t>варіант 14</t>
        </is>
      </c>
    </row>
    <row r="8">
      <c r="A8" s="2" t="inlineStr">
        <is>
          <t>p2_sprint</t>
        </is>
      </c>
      <c r="B8" s="2" t="inlineStr">
        <is>
          <t>Тривалість спринту</t>
        </is>
      </c>
      <c r="C8" s="4" t="n">
        <v>2</v>
      </c>
      <c r="D8" s="2" t="inlineStr">
        <is>
          <t>тиж.</t>
        </is>
      </c>
      <c r="E8" s="2" t="inlineStr">
        <is>
          <t>Д</t>
        </is>
      </c>
      <c r="F8" s="2" t="inlineStr">
        <is>
          <t>усі спринти 2 тижні</t>
        </is>
      </c>
    </row>
    <row r="9">
      <c r="A9" s="2" t="inlineStr">
        <is>
          <t>p2_tcf</t>
        </is>
      </c>
      <c r="B9" s="2" t="inlineStr">
        <is>
          <t>TCF</t>
        </is>
      </c>
      <c r="C9" s="4" t="n">
        <v>0.9</v>
      </c>
      <c r="D9" s="2" t="inlineStr"/>
      <c r="E9" s="2" t="inlineStr">
        <is>
          <t>Д</t>
        </is>
      </c>
      <c r="F9" s="2" t="inlineStr">
        <is>
          <t>варіант 14</t>
        </is>
      </c>
    </row>
    <row r="10">
      <c r="A10" s="2" t="inlineStr">
        <is>
          <t>p2_ecf</t>
        </is>
      </c>
      <c r="B10" s="2" t="inlineStr">
        <is>
          <t>ECF</t>
        </is>
      </c>
      <c r="C10" s="4" t="n">
        <v>0.9</v>
      </c>
      <c r="D10" s="2" t="inlineStr"/>
      <c r="E10" s="2" t="inlineStr">
        <is>
          <t>Д</t>
        </is>
      </c>
      <c r="F10" s="2" t="inlineStr">
        <is>
          <t>варіант 14</t>
        </is>
      </c>
    </row>
    <row r="11">
      <c r="A11" s="2" t="inlineStr">
        <is>
          <t>p2_pf</t>
        </is>
      </c>
      <c r="B11" s="2" t="inlineStr">
        <is>
          <t>PF</t>
        </is>
      </c>
      <c r="C11" s="4" t="n">
        <v>22</v>
      </c>
      <c r="D11" s="2" t="inlineStr">
        <is>
          <t>люд.-год/UCP</t>
        </is>
      </c>
      <c r="E11" s="2" t="inlineStr">
        <is>
          <t>Д</t>
        </is>
      </c>
      <c r="F11" s="2" t="inlineStr">
        <is>
          <t>варіант 14</t>
        </is>
      </c>
    </row>
    <row r="12">
      <c r="A12" s="2" t="inlineStr">
        <is>
          <t>p2_util</t>
        </is>
      </c>
      <c r="B12" s="2" t="inlineStr">
        <is>
          <t>Досяжне завантаження вузької ролі</t>
        </is>
      </c>
      <c r="C12" s="4" t="n">
        <v>0.85</v>
      </c>
      <c r="D12" s="2" t="inlineStr">
        <is>
          <t>частка</t>
        </is>
      </c>
      <c r="E12" s="2" t="inlineStr">
        <is>
          <t>П</t>
        </is>
      </c>
      <c r="F12" s="2" t="inlineStr">
        <is>
          <t>залежності і очікування; WBS дає 0,80 для розробників</t>
        </is>
      </c>
    </row>
    <row r="13">
      <c r="A13" s="2" t="inlineStr">
        <is>
          <t>p2_mr</t>
        </is>
      </c>
      <c r="B13" s="2" t="inlineStr">
        <is>
          <t>Management reserve</t>
        </is>
      </c>
      <c r="C13" s="4" t="n">
        <v>15</v>
      </c>
      <c r="D13" s="2" t="inlineStr">
        <is>
          <t>роб. днів</t>
        </is>
      </c>
      <c r="E13" s="2" t="inlineStr">
        <is>
          <t>П</t>
        </is>
      </c>
      <c r="F13" s="2" t="inlineStr">
        <is>
          <t>системний сценарій нестабільних лічильників</t>
        </is>
      </c>
    </row>
    <row r="14">
      <c r="A14" s="2" t="inlineStr">
        <is>
          <t>p2_mc_p50</t>
        </is>
      </c>
      <c r="B14" s="2" t="inlineStr">
        <is>
          <t>P50 за симуляцією Монте-Карло</t>
        </is>
      </c>
      <c r="C14" s="6" t="n">
        <v>126.23</v>
      </c>
      <c r="D14" s="2" t="inlineStr">
        <is>
          <t>роб. днів</t>
        </is>
      </c>
      <c r="E14" s="2" t="inlineStr">
        <is>
          <t>Р</t>
        </is>
      </c>
      <c r="F14" s="2" t="inlineStr">
        <is>
          <t>20 000 прогонів, seed 14, Python</t>
        </is>
      </c>
    </row>
    <row r="15">
      <c r="A15" s="2" t="inlineStr">
        <is>
          <t>p2_mc_p80</t>
        </is>
      </c>
      <c r="B15" s="2" t="inlineStr">
        <is>
          <t>P80 за симуляцією Монте-Карло</t>
        </is>
      </c>
      <c r="C15" s="6" t="n">
        <v>131.4</v>
      </c>
      <c r="D15" s="2" t="inlineStr">
        <is>
          <t>роб. днів</t>
        </is>
      </c>
      <c r="E15" s="2" t="inlineStr">
        <is>
          <t>Р</t>
        </is>
      </c>
      <c r="F15" s="2" t="inlineStr">
        <is>
          <t>20 000 прогонів, seed 14, Python</t>
        </is>
      </c>
    </row>
    <row r="17">
      <c r="A17" s="1" t="inlineStr">
        <is>
          <t>Неробочі дні</t>
        </is>
      </c>
    </row>
    <row r="18">
      <c r="A18" s="3" t="n">
        <v>46387</v>
      </c>
      <c r="B18" t="inlineStr">
        <is>
          <t>команда бере 2 дні відпустки; державні свята в умовах воєнного стану не є вихідними</t>
        </is>
      </c>
    </row>
    <row r="19">
      <c r="A19" s="3" t="n">
        <v>46388</v>
      </c>
    </row>
    <row r="21">
      <c r="A21" s="1" t="inlineStr">
        <is>
          <t>Роль</t>
        </is>
      </c>
      <c r="B21" s="1" t="inlineStr">
        <is>
          <t>Обов'язки</t>
        </is>
      </c>
      <c r="C21" s="1" t="inlineStr">
        <is>
          <t>FTE</t>
        </is>
      </c>
      <c r="D21" s="1" t="inlineStr">
        <is>
          <t>Год/день</t>
        </is>
      </c>
      <c r="E21" s="1" t="inlineStr">
        <is>
          <t>Год/тиждень</t>
        </is>
      </c>
    </row>
    <row r="22">
      <c r="A22" s="2" t="inlineStr">
        <is>
          <t>BA/PM</t>
        </is>
      </c>
      <c r="B22" s="2" t="inlineStr">
        <is>
          <t>вимоги, backlog, критерії приймання, розмітка аномалій, комунікація з пілотною будівлею; UX прототипи дашборда</t>
        </is>
      </c>
      <c r="C22" s="4" t="n">
        <v>0.5</v>
      </c>
      <c r="D22" s="7">
        <f>C22*p2_hours*p2_focus</f>
        <v/>
      </c>
      <c r="E22" s="8">
        <f>D22*p2_days_week</f>
        <v/>
      </c>
    </row>
    <row r="23">
      <c r="A23" s="2" t="inlineStr">
        <is>
          <t>Розробник 1</t>
        </is>
      </c>
      <c r="B23" s="2" t="inlineStr">
        <is>
          <t>ПЗ шлюзу Modbus і MQTT, приймання показів, деградований режим, звіти і RBAC</t>
        </is>
      </c>
      <c r="C23" s="4" t="n">
        <v>1</v>
      </c>
      <c r="D23" s="7">
        <f>C23*p2_hours*p2_focus</f>
        <v/>
      </c>
      <c r="E23" s="8">
        <f>D23*p2_days_week</f>
        <v/>
      </c>
    </row>
    <row r="24">
      <c r="A24" s="2" t="inlineStr">
        <is>
          <t>Розробник 2</t>
        </is>
      </c>
      <c r="B24" s="2" t="inlineStr">
        <is>
          <t>реєстр, базова лінія, виявлення аномалій, сповіщення, інциденти, вебінтерфейс</t>
        </is>
      </c>
      <c r="C24" s="4" t="n">
        <v>1</v>
      </c>
      <c r="D24" s="7">
        <f>C24*p2_hours*p2_focus</f>
        <v/>
      </c>
      <c r="E24" s="8">
        <f>D24*p2_days_week</f>
        <v/>
      </c>
    </row>
    <row r="25">
      <c r="A25" s="2" t="inlineStr">
        <is>
          <t>QA</t>
        </is>
      </c>
      <c r="B25" s="2" t="inlineStr">
        <is>
          <t>тест-стенд лічильників, автотести інтеграції, навантажувальні тести, приймання</t>
        </is>
      </c>
      <c r="C25" s="4" t="n">
        <v>0.75</v>
      </c>
      <c r="D25" s="7">
        <f>C25*p2_hours*p2_focus</f>
        <v/>
      </c>
      <c r="E25" s="8">
        <f>D25*p2_days_week</f>
        <v/>
      </c>
    </row>
    <row r="26">
      <c r="A26" s="2" t="inlineStr">
        <is>
          <t>DevOps</t>
        </is>
      </c>
      <c r="B26" s="2" t="inlineStr">
        <is>
          <t>IaC, CI/CD, середовища, моніторинг, резервні копії, монтаж шлюзу в пілоті</t>
        </is>
      </c>
      <c r="C26" s="4" t="n">
        <v>0.5</v>
      </c>
      <c r="D26" s="7">
        <f>C26*p2_hours*p2_focus</f>
        <v/>
      </c>
      <c r="E26" s="8">
        <f>D26*p2_days_week</f>
        <v/>
      </c>
    </row>
    <row r="27">
      <c r="A27" s="2" t="inlineStr">
        <is>
          <t>Разом</t>
        </is>
      </c>
      <c r="B27" s="2" t="n"/>
      <c r="C27" s="6">
        <f>SUM(C22:C26)</f>
        <v/>
      </c>
      <c r="D27" s="7">
        <f>SUM(D22:D26)</f>
        <v/>
      </c>
      <c r="E27" s="8">
        <f>SUM(E22:E26)</f>
        <v/>
      </c>
    </row>
  </sheetData>
  <pageMargins left="0.3" right="0.3" top="0.4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2" customWidth="1" min="3" max="3"/>
    <col width="60" customWidth="1" min="4" max="4"/>
    <col width="44" customWidth="1" min="5" max="5"/>
  </cols>
  <sheetData>
    <row r="1">
      <c r="A1" s="1" t="inlineStr">
        <is>
          <t>ID</t>
        </is>
      </c>
      <c r="B1" s="1" t="inlineStr">
        <is>
          <t>Елемент ЛР № 1</t>
        </is>
      </c>
      <c r="C1" s="1" t="inlineStr">
        <is>
          <t>Статус</t>
        </is>
      </c>
      <c r="D1" s="1" t="inlineStr">
        <is>
          <t>Зміна / причина</t>
        </is>
      </c>
      <c r="E1" s="1" t="inlineStr">
        <is>
          <t>Вплив</t>
        </is>
      </c>
    </row>
    <row r="2">
      <c r="A2" s="2" t="inlineStr">
        <is>
          <t>S1</t>
        </is>
      </c>
      <c r="B2" s="2" t="inlineStr">
        <is>
          <t>F1...F11, межі «поза MVP»</t>
        </is>
      </c>
      <c r="C2" s="2" t="inlineStr">
        <is>
          <t>без змін</t>
        </is>
      </c>
      <c r="D2" s="2" t="inlineStr">
        <is>
          <t>функції і 7 виключень перенесено з ЛР № 1</t>
        </is>
      </c>
      <c r="E2" s="2" t="inlineStr">
        <is>
          <t>немає</t>
        </is>
      </c>
    </row>
    <row r="3">
      <c r="A3" s="2" t="inlineStr">
        <is>
          <t>S2</t>
        </is>
      </c>
      <c r="B3" s="2" t="inlineStr">
        <is>
          <t>NFR1...NFR5</t>
        </is>
      </c>
      <c r="C3" s="2" t="inlineStr">
        <is>
          <t>без змін</t>
        </is>
      </c>
      <c r="D3" s="2" t="inlineStr">
        <is>
          <t>пороги перенесено; NFR1 і NFR4 оформлено окремим backlog item B12 (3 SP)</t>
        </is>
      </c>
      <c r="E3" s="2" t="inlineStr">
        <is>
          <t>+3 SP у backlog</t>
        </is>
      </c>
    </row>
    <row r="4">
      <c r="A4" s="2" t="inlineStr">
        <is>
          <t>S3</t>
        </is>
      </c>
      <c r="B4" s="2" t="inlineStr">
        <is>
          <t>F11 Звіт орендарю</t>
        </is>
      </c>
      <c r="C4" s="2" t="inlineStr">
        <is>
          <t>уточнено</t>
        </is>
      </c>
      <c r="D4" s="2" t="inlineStr">
        <is>
          <t>у MVP орендар отримує звіт файлом через пошту, без входу в GUI</t>
        </is>
      </c>
      <c r="E4" s="2" t="inlineStr">
        <is>
          <t>менше UC і актор орендаря не враховано в UCP</t>
        </is>
      </c>
    </row>
    <row r="5">
      <c r="A5" s="2" t="inlineStr">
        <is>
          <t>S4</t>
        </is>
      </c>
      <c r="B5" s="2" t="inlineStr">
        <is>
          <t>F5 Базова лінія</t>
        </is>
      </c>
      <c r="C5" s="2" t="inlineStr">
        <is>
          <t>уточнено</t>
        </is>
      </c>
      <c r="D5" s="2" t="inlineStr">
        <is>
          <t>медіана 4 однакових днів тижня потребує 28 діб історії</t>
        </is>
      </c>
      <c r="E5" s="2" t="inlineStr">
        <is>
          <t>у WBS додано пакет 5.4 з накопиченням історії паралельно з розробленням</t>
        </is>
      </c>
    </row>
    <row r="6">
      <c r="A6" s="2" t="inlineStr">
        <is>
          <t>S5</t>
        </is>
      </c>
      <c r="B6" s="2" t="inlineStr">
        <is>
          <t>F3 Деградований режим</t>
        </is>
      </c>
      <c r="C6" s="2" t="inlineStr">
        <is>
          <t>уточнено</t>
        </is>
      </c>
      <c r="D6" s="2" t="inlineStr">
        <is>
          <t>приймання на тест-стенді (5.1) і в пілоті (5.5) з реальними обривами</t>
        </is>
      </c>
      <c r="E6" s="2" t="inlineStr">
        <is>
          <t>залежність 2.4 від 5.1</t>
        </is>
      </c>
    </row>
    <row r="7">
      <c r="A7" s="2" t="inlineStr">
        <is>
          <t>S6</t>
        </is>
      </c>
      <c r="B7" s="2" t="inlineStr">
        <is>
          <t>F6 Виявлення аномалій</t>
        </is>
      </c>
      <c r="C7" s="2" t="inlineStr">
        <is>
          <t>уточнено</t>
        </is>
      </c>
      <c r="D7" s="2" t="inlineStr">
        <is>
          <t>precision і recall вимірюються спершу на історичних даних тесту A1, потім на 28 добах пілоту</t>
        </is>
      </c>
      <c r="E7" s="2" t="inlineStr">
        <is>
          <t>пакет 5.5</t>
        </is>
      </c>
    </row>
    <row r="8">
      <c r="A8" s="2" t="inlineStr">
        <is>
          <t>S7</t>
        </is>
      </c>
      <c r="B8" s="2" t="inlineStr">
        <is>
          <t>Команда MVP</t>
        </is>
      </c>
      <c r="C8" s="2" t="inlineStr">
        <is>
          <t>уточнено</t>
        </is>
      </c>
      <c r="D8" s="2" t="inlineStr">
        <is>
          <t>5 осіб з ЛР № 1 отримали FTE: BA/PM 0,5; 2 розробники по 1,0; QA 0,75; DevOps 0,5; UX виконує BA/PM</t>
        </is>
      </c>
      <c r="E8" s="2" t="inlineStr">
        <is>
          <t>3,75 FTE, 105 продуктивних люд.-год на тиждень</t>
        </is>
      </c>
    </row>
    <row r="9">
      <c r="A9" s="2" t="inlineStr">
        <is>
          <t>S8</t>
        </is>
      </c>
      <c r="B9" s="2" t="inlineStr">
        <is>
          <t>Припущення A5, A7, A12</t>
        </is>
      </c>
      <c r="C9" s="2" t="inlineStr">
        <is>
          <t>уточнено</t>
        </is>
      </c>
      <c r="D9" s="2" t="inlineStr">
        <is>
          <t>A12 і пакетний аспект A5 включено в P пакетів 1.2, 2.4; системний сценарій A5 винесено в management reserve</t>
        </is>
      </c>
      <c r="E9" s="2" t="inlineStr">
        <is>
          <t>без подвійного обліку ризику</t>
        </is>
      </c>
    </row>
  </sheetData>
  <pageMargins left="0.3" right="0.3" top="0.4" bottom="0.4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23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11" customWidth="1" min="3" max="3"/>
    <col width="12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  <col width="6" customWidth="1" min="11" max="11"/>
    <col width="6" customWidth="1" min="12" max="12"/>
    <col width="6" customWidth="1" min="13" max="13"/>
    <col width="7" customWidth="1" min="14" max="14"/>
    <col width="6" customWidth="1" min="15" max="15"/>
    <col width="7" customWidth="1" min="16" max="16"/>
    <col width="8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11" customWidth="1" min="23" max="23"/>
    <col width="9" customWidth="1" min="24" max="24"/>
    <col width="9" customWidth="1" min="25" max="25"/>
    <col width="60" customWidth="1" min="26" max="26"/>
  </cols>
  <sheetData>
    <row r="1">
      <c r="A1" s="1" t="inlineStr">
        <is>
          <t>ID</t>
        </is>
      </c>
      <c r="B1" s="1" t="inlineStr">
        <is>
          <t>Пакет / результат</t>
        </is>
      </c>
      <c r="C1" s="1" t="inlineStr">
        <is>
          <t>Попередник</t>
        </is>
      </c>
      <c r="D1" s="1" t="inlineStr">
        <is>
          <t>Лідер</t>
        </is>
      </c>
      <c r="E1" s="1" t="inlineStr">
        <is>
          <t>BA/PM, год</t>
        </is>
      </c>
      <c r="F1" s="1" t="inlineStr">
        <is>
          <t>Розр. 1, год</t>
        </is>
      </c>
      <c r="G1" s="1" t="inlineStr">
        <is>
          <t>Розр. 2, год</t>
        </is>
      </c>
      <c r="H1" s="1" t="inlineStr">
        <is>
          <t>QA, год</t>
        </is>
      </c>
      <c r="I1" s="1" t="inlineStr">
        <is>
          <t>DevOps, год</t>
        </is>
      </c>
      <c r="J1" s="1" t="inlineStr">
        <is>
          <t>Effort M, год</t>
        </is>
      </c>
      <c r="K1" s="1" t="inlineStr">
        <is>
          <t>O, днів</t>
        </is>
      </c>
      <c r="L1" s="1" t="inlineStr">
        <is>
          <t>M, днів</t>
        </is>
      </c>
      <c r="M1" s="1" t="inlineStr">
        <is>
          <t>P, днів</t>
        </is>
      </c>
      <c r="N1" s="1" t="inlineStr">
        <is>
          <t>E, днів</t>
        </is>
      </c>
      <c r="O1" s="1" t="inlineStr">
        <is>
          <t>σ, днів</t>
        </is>
      </c>
      <c r="P1" s="1" t="inlineStr">
        <is>
          <t>Var, дні²</t>
        </is>
      </c>
      <c r="Q1" s="1" t="inlineStr">
        <is>
          <t>Effort E, год</t>
        </is>
      </c>
      <c r="R1" s="1" t="inlineStr">
        <is>
          <t>ES</t>
        </is>
      </c>
      <c r="S1" s="1" t="inlineStr">
        <is>
          <t>EF</t>
        </is>
      </c>
      <c r="T1" s="1" t="inlineStr">
        <is>
          <t>LS</t>
        </is>
      </c>
      <c r="U1" s="1" t="inlineStr">
        <is>
          <t>LF</t>
        </is>
      </c>
      <c r="V1" s="1" t="inlineStr">
        <is>
          <t>Резерв</t>
        </is>
      </c>
      <c r="W1" s="1" t="inlineStr">
        <is>
          <t>Критичний</t>
        </is>
      </c>
      <c r="X1" s="1" t="inlineStr">
        <is>
          <t>Старт</t>
        </is>
      </c>
      <c r="Y1" s="1" t="inlineStr">
        <is>
          <t>Фініш</t>
        </is>
      </c>
      <c r="Z1" s="1" t="inlineStr">
        <is>
          <t>DoD</t>
        </is>
      </c>
    </row>
    <row r="2">
      <c r="A2" s="9" t="inlineStr">
        <is>
          <t>1.1</t>
        </is>
      </c>
      <c r="B2" s="2" t="inlineStr">
        <is>
          <t>Scope freeze: уточнений backlog і критерії приймання</t>
        </is>
      </c>
      <c r="C2" s="2" t="inlineStr">
        <is>
          <t>немає</t>
        </is>
      </c>
      <c r="D2" s="2" t="inlineStr">
        <is>
          <t>BA/PM</t>
        </is>
      </c>
      <c r="E2" s="4" t="n">
        <v>22</v>
      </c>
      <c r="F2" s="4" t="n">
        <v>10</v>
      </c>
      <c r="G2" s="4" t="n">
        <v>10</v>
      </c>
      <c r="H2" s="4" t="n">
        <v>10</v>
      </c>
      <c r="I2" s="4" t="n">
        <v>6</v>
      </c>
      <c r="J2" s="6">
        <f>SUM(E2:I2)</f>
        <v/>
      </c>
      <c r="K2" s="4" t="n">
        <v>6</v>
      </c>
      <c r="L2" s="4" t="n">
        <v>8</v>
      </c>
      <c r="M2" s="4" t="n">
        <v>12</v>
      </c>
      <c r="N2" s="7">
        <f>(K2+4*L2+M2)/6</f>
        <v/>
      </c>
      <c r="O2" s="7">
        <f>(M2-K2)/6</f>
        <v/>
      </c>
      <c r="P2" s="7">
        <f>O2^2</f>
        <v/>
      </c>
      <c r="Q2" s="10">
        <f>J2*N2/L2</f>
        <v/>
      </c>
      <c r="R2" s="7" t="n">
        <v>0</v>
      </c>
      <c r="S2" s="7">
        <f>R2+N2</f>
        <v/>
      </c>
      <c r="T2" s="7">
        <f>U2-N2</f>
        <v/>
      </c>
      <c r="U2" s="7">
        <f>MIN(proj_end,T3-0)</f>
        <v/>
      </c>
      <c r="V2" s="7">
        <f>T2-R2</f>
        <v/>
      </c>
      <c r="W2" s="11">
        <f>IF(ABS(V2)&lt;0.001,"так","ні")</f>
        <v/>
      </c>
      <c r="X2" s="12">
        <f>WORKDAY(p2_start,ROUNDDOWN(R2,0),p2_holidays)</f>
        <v/>
      </c>
      <c r="Y2" s="12">
        <f>WORKDAY(p2_start,ROUNDUP(S2,0)-1,p2_holidays)</f>
        <v/>
      </c>
      <c r="Z2" s="2" t="inlineStr">
        <is>
          <t>116 SP оцінено командою, критерії приймання F1...F11 і NFR1...NFR5 погоджено, журнал змін scope підписано</t>
        </is>
      </c>
    </row>
    <row r="3">
      <c r="A3" s="9" t="inlineStr">
        <is>
          <t>1.2</t>
        </is>
      </c>
      <c r="B3" s="2" t="inlineStr">
        <is>
          <t>Architecture spike: прототип шлюзу і вибір сховища</t>
        </is>
      </c>
      <c r="C3" s="2" t="inlineStr">
        <is>
          <t>1.1</t>
        </is>
      </c>
      <c r="D3" s="2" t="inlineStr">
        <is>
          <t>Розробник 1</t>
        </is>
      </c>
      <c r="E3" s="4" t="n">
        <v>8</v>
      </c>
      <c r="F3" s="4" t="n">
        <v>64</v>
      </c>
      <c r="G3" s="4" t="n">
        <v>56</v>
      </c>
      <c r="H3" s="4" t="n">
        <v>12</v>
      </c>
      <c r="I3" s="4" t="n">
        <v>24</v>
      </c>
      <c r="J3" s="6">
        <f>SUM(E3:I3)</f>
        <v/>
      </c>
      <c r="K3" s="4" t="n">
        <v>8</v>
      </c>
      <c r="L3" s="4" t="n">
        <v>12</v>
      </c>
      <c r="M3" s="4" t="n">
        <v>24</v>
      </c>
      <c r="N3" s="7">
        <f>(K3+4*L3+M3)/6</f>
        <v/>
      </c>
      <c r="O3" s="7">
        <f>(M3-K3)/6</f>
        <v/>
      </c>
      <c r="P3" s="7">
        <f>O3^2</f>
        <v/>
      </c>
      <c r="Q3" s="10">
        <f>J3*N3/L3</f>
        <v/>
      </c>
      <c r="R3" s="7">
        <f>MAX(0,S2+0)</f>
        <v/>
      </c>
      <c r="S3" s="7">
        <f>R3+N3</f>
        <v/>
      </c>
      <c r="T3" s="7">
        <f>U3-N3</f>
        <v/>
      </c>
      <c r="U3" s="7">
        <f>MIN(proj_end,T4-0,T5-0,T6-0,T16-5+N3)</f>
        <v/>
      </c>
      <c r="V3" s="7">
        <f>T3-R3</f>
        <v/>
      </c>
      <c r="W3" s="11">
        <f>IF(ABS(V3)&lt;0.001,"так","ні")</f>
        <v/>
      </c>
      <c r="X3" s="12">
        <f>WORKDAY(p2_start,ROUNDDOWN(R3,0),p2_holidays)</f>
        <v/>
      </c>
      <c r="Y3" s="12">
        <f>WORKDAY(p2_start,ROUNDUP(S3,0)-1,p2_holidays)</f>
        <v/>
      </c>
      <c r="Z3" s="2" t="inlineStr">
        <is>
          <t>прототип зчитав 3 типи лічильників по Modbus RTU/TCP; ADR щодо БД часових рядів; тест приймання 30 × 96 записів на добу</t>
        </is>
      </c>
    </row>
    <row r="4">
      <c r="A4" s="2" t="inlineStr">
        <is>
          <t>1.3</t>
        </is>
      </c>
      <c r="B4" s="2" t="inlineStr">
        <is>
          <t>Інфраструктура: IaC, CI/CD, середовища, моніторинг</t>
        </is>
      </c>
      <c r="C4" s="2" t="inlineStr">
        <is>
          <t>1.2</t>
        </is>
      </c>
      <c r="D4" s="2" t="inlineStr">
        <is>
          <t>DevOps</t>
        </is>
      </c>
      <c r="E4" s="4" t="n">
        <v>0</v>
      </c>
      <c r="F4" s="4" t="n">
        <v>0</v>
      </c>
      <c r="G4" s="4" t="n">
        <v>0</v>
      </c>
      <c r="H4" s="4" t="n">
        <v>4</v>
      </c>
      <c r="I4" s="4" t="n">
        <v>52</v>
      </c>
      <c r="J4" s="6">
        <f>SUM(E4:I4)</f>
        <v/>
      </c>
      <c r="K4" s="4" t="n">
        <v>18</v>
      </c>
      <c r="L4" s="4" t="n">
        <v>25</v>
      </c>
      <c r="M4" s="4" t="n">
        <v>35</v>
      </c>
      <c r="N4" s="7">
        <f>(K4+4*L4+M4)/6</f>
        <v/>
      </c>
      <c r="O4" s="7">
        <f>(M4-K4)/6</f>
        <v/>
      </c>
      <c r="P4" s="7">
        <f>O4^2</f>
        <v/>
      </c>
      <c r="Q4" s="10">
        <f>J4*N4/L4</f>
        <v/>
      </c>
      <c r="R4" s="7">
        <f>MAX(0,S3+0)</f>
        <v/>
      </c>
      <c r="S4" s="7">
        <f>R4+N4</f>
        <v/>
      </c>
      <c r="T4" s="7">
        <f>U4-N4</f>
        <v/>
      </c>
      <c r="U4" s="7">
        <f>MIN(proj_end,T19-0)</f>
        <v/>
      </c>
      <c r="V4" s="7">
        <f>T4-R4</f>
        <v/>
      </c>
      <c r="W4" s="6">
        <f>IF(ABS(V4)&lt;0.001,"так","ні")</f>
        <v/>
      </c>
      <c r="X4" s="12">
        <f>WORKDAY(p2_start,ROUNDDOWN(R4,0),p2_holidays)</f>
        <v/>
      </c>
      <c r="Y4" s="12">
        <f>WORKDAY(p2_start,ROUNDUP(S4,0)-1,p2_holidays)</f>
        <v/>
      </c>
      <c r="Z4" s="2" t="inlineStr">
        <is>
          <t>середовища dev, stage, prod створюються з коду; конвеєр CI/CD до 15 хв; моніторинг і резервні копії (NFR3)</t>
        </is>
      </c>
    </row>
    <row r="5">
      <c r="A5" s="9" t="inlineStr">
        <is>
          <t>2.1</t>
        </is>
      </c>
      <c r="B5" s="2" t="inlineStr">
        <is>
          <t>F1 Реєстр будівлі й лічильників</t>
        </is>
      </c>
      <c r="C5" s="2" t="inlineStr">
        <is>
          <t>1.2</t>
        </is>
      </c>
      <c r="D5" s="2" t="inlineStr">
        <is>
          <t>Розробник 2</t>
        </is>
      </c>
      <c r="E5" s="4" t="n">
        <v>8</v>
      </c>
      <c r="F5" s="4" t="n">
        <v>0</v>
      </c>
      <c r="G5" s="4" t="n">
        <v>60</v>
      </c>
      <c r="H5" s="4" t="n">
        <v>16</v>
      </c>
      <c r="I5" s="4" t="n">
        <v>2</v>
      </c>
      <c r="J5" s="6">
        <f>SUM(E5:I5)</f>
        <v/>
      </c>
      <c r="K5" s="4" t="n">
        <v>9</v>
      </c>
      <c r="L5" s="4" t="n">
        <v>11</v>
      </c>
      <c r="M5" s="4" t="n">
        <v>15</v>
      </c>
      <c r="N5" s="7">
        <f>(K5+4*L5+M5)/6</f>
        <v/>
      </c>
      <c r="O5" s="7">
        <f>(M5-K5)/6</f>
        <v/>
      </c>
      <c r="P5" s="7">
        <f>O5^2</f>
        <v/>
      </c>
      <c r="Q5" s="10">
        <f>J5*N5/L5</f>
        <v/>
      </c>
      <c r="R5" s="7">
        <f>MAX(0,S3+0)</f>
        <v/>
      </c>
      <c r="S5" s="7">
        <f>R5+N5</f>
        <v/>
      </c>
      <c r="T5" s="7">
        <f>U5-N5</f>
        <v/>
      </c>
      <c r="U5" s="7">
        <f>MIN(proj_end,T9-0)</f>
        <v/>
      </c>
      <c r="V5" s="7">
        <f>T5-R5</f>
        <v/>
      </c>
      <c r="W5" s="11">
        <f>IF(ABS(V5)&lt;0.001,"так","ні")</f>
        <v/>
      </c>
      <c r="X5" s="12">
        <f>WORKDAY(p2_start,ROUNDDOWN(R5,0),p2_holidays)</f>
        <v/>
      </c>
      <c r="Y5" s="12">
        <f>WORKDAY(p2_start,ROUNDUP(S5,0)-1,p2_holidays)</f>
        <v/>
      </c>
      <c r="Z5" s="2" t="inlineStr">
        <is>
          <t>дерево ввід, поверх, орендар, споживач без циклів; 30 лічильників описано за 2 год</t>
        </is>
      </c>
    </row>
    <row r="6">
      <c r="A6" s="2" t="inlineStr">
        <is>
          <t>2.2</t>
        </is>
      </c>
      <c r="B6" s="2" t="inlineStr">
        <is>
          <t>F2 ПЗ шлюзу: опитування Modbus, імпульсні входи, MQTT 5</t>
        </is>
      </c>
      <c r="C6" s="2" t="inlineStr">
        <is>
          <t>1.2</t>
        </is>
      </c>
      <c r="D6" s="2" t="inlineStr">
        <is>
          <t>Розробник 1</t>
        </is>
      </c>
      <c r="E6" s="4" t="n">
        <v>6</v>
      </c>
      <c r="F6" s="4" t="n">
        <v>86</v>
      </c>
      <c r="G6" s="4" t="n">
        <v>0</v>
      </c>
      <c r="H6" s="4" t="n">
        <v>20</v>
      </c>
      <c r="I6" s="4" t="n">
        <v>6</v>
      </c>
      <c r="J6" s="6">
        <f>SUM(E6:I6)</f>
        <v/>
      </c>
      <c r="K6" s="4" t="n">
        <v>13</v>
      </c>
      <c r="L6" s="4" t="n">
        <v>16</v>
      </c>
      <c r="M6" s="4" t="n">
        <v>25</v>
      </c>
      <c r="N6" s="7">
        <f>(K6+4*L6+M6)/6</f>
        <v/>
      </c>
      <c r="O6" s="7">
        <f>(M6-K6)/6</f>
        <v/>
      </c>
      <c r="P6" s="7">
        <f>O6^2</f>
        <v/>
      </c>
      <c r="Q6" s="10">
        <f>J6*N6/L6</f>
        <v/>
      </c>
      <c r="R6" s="7">
        <f>MAX(0,S3+0)</f>
        <v/>
      </c>
      <c r="S6" s="7">
        <f>R6+N6</f>
        <v/>
      </c>
      <c r="T6" s="7">
        <f>U6-N6</f>
        <v/>
      </c>
      <c r="U6" s="7">
        <f>MIN(proj_end,T7-0)</f>
        <v/>
      </c>
      <c r="V6" s="7">
        <f>T6-R6</f>
        <v/>
      </c>
      <c r="W6" s="6">
        <f>IF(ABS(V6)&lt;0.001,"так","ні")</f>
        <v/>
      </c>
      <c r="X6" s="12">
        <f>WORKDAY(p2_start,ROUNDDOWN(R6,0),p2_holidays)</f>
        <v/>
      </c>
      <c r="Y6" s="12">
        <f>WORKDAY(p2_start,ROUNDUP(S6,0)-1,p2_holidays)</f>
        <v/>
      </c>
      <c r="Z6" s="2" t="inlineStr">
        <is>
          <t>на тест-стенді не менше 99% інтервалів доставлено за 7 діб стабільного зв'язку</t>
        </is>
      </c>
    </row>
    <row r="7">
      <c r="A7" s="2" t="inlineStr">
        <is>
          <t>2.3</t>
        </is>
      </c>
      <c r="B7" s="2" t="inlineStr">
        <is>
          <t>F4 Приймання показів і контроль якості</t>
        </is>
      </c>
      <c r="C7" s="2" t="inlineStr">
        <is>
          <t>2.2</t>
        </is>
      </c>
      <c r="D7" s="2" t="inlineStr">
        <is>
          <t>Розробник 1</t>
        </is>
      </c>
      <c r="E7" s="4" t="n">
        <v>6</v>
      </c>
      <c r="F7" s="4" t="n">
        <v>72</v>
      </c>
      <c r="G7" s="4" t="n">
        <v>0</v>
      </c>
      <c r="H7" s="4" t="n">
        <v>19</v>
      </c>
      <c r="I7" s="4" t="n">
        <v>4</v>
      </c>
      <c r="J7" s="6">
        <f>SUM(E7:I7)</f>
        <v/>
      </c>
      <c r="K7" s="4" t="n">
        <v>11</v>
      </c>
      <c r="L7" s="4" t="n">
        <v>13</v>
      </c>
      <c r="M7" s="4" t="n">
        <v>19</v>
      </c>
      <c r="N7" s="7">
        <f>(K7+4*L7+M7)/6</f>
        <v/>
      </c>
      <c r="O7" s="7">
        <f>(M7-K7)/6</f>
        <v/>
      </c>
      <c r="P7" s="7">
        <f>O7^2</f>
        <v/>
      </c>
      <c r="Q7" s="10">
        <f>J7*N7/L7</f>
        <v/>
      </c>
      <c r="R7" s="7">
        <f>MAX(0,S6+0)</f>
        <v/>
      </c>
      <c r="S7" s="7">
        <f>R7+N7</f>
        <v/>
      </c>
      <c r="T7" s="7">
        <f>U7-N7</f>
        <v/>
      </c>
      <c r="U7" s="7">
        <f>MIN(proj_end,T8-0)</f>
        <v/>
      </c>
      <c r="V7" s="7">
        <f>T7-R7</f>
        <v/>
      </c>
      <c r="W7" s="6">
        <f>IF(ABS(V7)&lt;0.001,"так","ні")</f>
        <v/>
      </c>
      <c r="X7" s="12">
        <f>WORKDAY(p2_start,ROUNDDOWN(R7,0),p2_holidays)</f>
        <v/>
      </c>
      <c r="Y7" s="12">
        <f>WORKDAY(p2_start,ROUNDUP(S7,0)-1,p2_holidays)</f>
        <v/>
      </c>
      <c r="Z7" s="2" t="inlineStr">
        <is>
          <t>100% з 20 штучних помилкових записів позначено; інтервальне споживання як різниця накопичувальних показів</t>
        </is>
      </c>
    </row>
    <row r="8">
      <c r="A8" s="2" t="inlineStr">
        <is>
          <t>2.4</t>
        </is>
      </c>
      <c r="B8" s="2" t="inlineStr">
        <is>
          <t>F3 Деградований режим: буфер 72 год, дозавантаження</t>
        </is>
      </c>
      <c r="C8" s="2" t="inlineStr">
        <is>
          <t>2.3, 5.1</t>
        </is>
      </c>
      <c r="D8" s="2" t="inlineStr">
        <is>
          <t>Розробник 1</t>
        </is>
      </c>
      <c r="E8" s="4" t="n">
        <v>6</v>
      </c>
      <c r="F8" s="4" t="n">
        <v>88</v>
      </c>
      <c r="G8" s="4" t="n">
        <v>0</v>
      </c>
      <c r="H8" s="4" t="n">
        <v>28</v>
      </c>
      <c r="I8" s="4" t="n">
        <v>6</v>
      </c>
      <c r="J8" s="6">
        <f>SUM(E8:I8)</f>
        <v/>
      </c>
      <c r="K8" s="4" t="n">
        <v>13</v>
      </c>
      <c r="L8" s="4" t="n">
        <v>16</v>
      </c>
      <c r="M8" s="4" t="n">
        <v>31</v>
      </c>
      <c r="N8" s="7">
        <f>(K8+4*L8+M8)/6</f>
        <v/>
      </c>
      <c r="O8" s="7">
        <f>(M8-K8)/6</f>
        <v/>
      </c>
      <c r="P8" s="7">
        <f>O8^2</f>
        <v/>
      </c>
      <c r="Q8" s="10">
        <f>J8*N8/L8</f>
        <v/>
      </c>
      <c r="R8" s="7">
        <f>MAX(0,S7+0,S16+0)</f>
        <v/>
      </c>
      <c r="S8" s="7">
        <f>R8+N8</f>
        <v/>
      </c>
      <c r="T8" s="7">
        <f>U8-N8</f>
        <v/>
      </c>
      <c r="U8" s="7">
        <f>MIN(proj_end,T14-0,T19-0)</f>
        <v/>
      </c>
      <c r="V8" s="7">
        <f>T8-R8</f>
        <v/>
      </c>
      <c r="W8" s="6">
        <f>IF(ABS(V8)&lt;0.001,"так","ні")</f>
        <v/>
      </c>
      <c r="X8" s="12">
        <f>WORKDAY(p2_start,ROUNDDOWN(R8,0),p2_holidays)</f>
        <v/>
      </c>
      <c r="Y8" s="12">
        <f>WORKDAY(p2_start,ROUNDUP(S8,0)-1,p2_holidays)</f>
        <v/>
      </c>
      <c r="Z8" s="2" t="inlineStr">
        <is>
          <t>після обривів 1, 6, 24 год дозавантажено не менше 99,5% інтервалів за 30 хв; 0 хибних алертів на прогалинах</t>
        </is>
      </c>
    </row>
    <row r="9">
      <c r="A9" s="9" t="inlineStr">
        <is>
          <t>3.1</t>
        </is>
      </c>
      <c r="B9" s="2" t="inlineStr">
        <is>
          <t>F5 Базова лінія</t>
        </is>
      </c>
      <c r="C9" s="2" t="inlineStr">
        <is>
          <t>2.1</t>
        </is>
      </c>
      <c r="D9" s="2" t="inlineStr">
        <is>
          <t>Розробник 2</t>
        </is>
      </c>
      <c r="E9" s="4" t="n">
        <v>8</v>
      </c>
      <c r="F9" s="4" t="n">
        <v>0</v>
      </c>
      <c r="G9" s="4" t="n">
        <v>60</v>
      </c>
      <c r="H9" s="4" t="n">
        <v>13</v>
      </c>
      <c r="I9" s="4" t="n">
        <v>2</v>
      </c>
      <c r="J9" s="6">
        <f>SUM(E9:I9)</f>
        <v/>
      </c>
      <c r="K9" s="4" t="n">
        <v>9</v>
      </c>
      <c r="L9" s="4" t="n">
        <v>11</v>
      </c>
      <c r="M9" s="4" t="n">
        <v>16</v>
      </c>
      <c r="N9" s="7">
        <f>(K9+4*L9+M9)/6</f>
        <v/>
      </c>
      <c r="O9" s="7">
        <f>(M9-K9)/6</f>
        <v/>
      </c>
      <c r="P9" s="7">
        <f>O9^2</f>
        <v/>
      </c>
      <c r="Q9" s="10">
        <f>J9*N9/L9</f>
        <v/>
      </c>
      <c r="R9" s="7">
        <f>MAX(0,S5+0)</f>
        <v/>
      </c>
      <c r="S9" s="7">
        <f>R9+N9</f>
        <v/>
      </c>
      <c r="T9" s="7">
        <f>U9-N9</f>
        <v/>
      </c>
      <c r="U9" s="7">
        <f>MIN(proj_end,T10-0)</f>
        <v/>
      </c>
      <c r="V9" s="7">
        <f>T9-R9</f>
        <v/>
      </c>
      <c r="W9" s="11">
        <f>IF(ABS(V9)&lt;0.001,"так","ні")</f>
        <v/>
      </c>
      <c r="X9" s="12">
        <f>WORKDAY(p2_start,ROUNDDOWN(R9,0),p2_holidays)</f>
        <v/>
      </c>
      <c r="Y9" s="12">
        <f>WORKDAY(p2_start,ROUNDUP(S9,0)-1,p2_holidays)</f>
        <v/>
      </c>
      <c r="Z9" s="2" t="inlineStr">
        <is>
          <t>медіана 4 однакових днів тижня і MAD для 30 лічильників розраховуються не довше 60 с</t>
        </is>
      </c>
    </row>
    <row r="10">
      <c r="A10" s="9" t="inlineStr">
        <is>
          <t>3.2</t>
        </is>
      </c>
      <c r="B10" s="2" t="inlineStr">
        <is>
          <t>F6 Виявлення аномалій</t>
        </is>
      </c>
      <c r="C10" s="2" t="inlineStr">
        <is>
          <t>3.1</t>
        </is>
      </c>
      <c r="D10" s="2" t="inlineStr">
        <is>
          <t>Розробник 2</t>
        </is>
      </c>
      <c r="E10" s="4" t="n">
        <v>20</v>
      </c>
      <c r="F10" s="4" t="n">
        <v>0</v>
      </c>
      <c r="G10" s="4" t="n">
        <v>88</v>
      </c>
      <c r="H10" s="4" t="n">
        <v>24</v>
      </c>
      <c r="I10" s="4" t="n">
        <v>2</v>
      </c>
      <c r="J10" s="6">
        <f>SUM(E10:I10)</f>
        <v/>
      </c>
      <c r="K10" s="4" t="n">
        <v>11</v>
      </c>
      <c r="L10" s="4" t="n">
        <v>16</v>
      </c>
      <c r="M10" s="4" t="n">
        <v>29</v>
      </c>
      <c r="N10" s="7">
        <f>(K10+4*L10+M10)/6</f>
        <v/>
      </c>
      <c r="O10" s="7">
        <f>(M10-K10)/6</f>
        <v/>
      </c>
      <c r="P10" s="7">
        <f>O10^2</f>
        <v/>
      </c>
      <c r="Q10" s="10">
        <f>J10*N10/L10</f>
        <v/>
      </c>
      <c r="R10" s="7">
        <f>MAX(0,S9+0)</f>
        <v/>
      </c>
      <c r="S10" s="7">
        <f>R10+N10</f>
        <v/>
      </c>
      <c r="T10" s="7">
        <f>U10-N10</f>
        <v/>
      </c>
      <c r="U10" s="7">
        <f>MIN(proj_end,T11-0)</f>
        <v/>
      </c>
      <c r="V10" s="7">
        <f>T10-R10</f>
        <v/>
      </c>
      <c r="W10" s="11">
        <f>IF(ABS(V10)&lt;0.001,"так","ні")</f>
        <v/>
      </c>
      <c r="X10" s="12">
        <f>WORKDAY(p2_start,ROUNDDOWN(R10,0),p2_holidays)</f>
        <v/>
      </c>
      <c r="Y10" s="12">
        <f>WORKDAY(p2_start,ROUNDUP(S10,0)-1,p2_holidays)</f>
        <v/>
      </c>
      <c r="Z10" s="2" t="inlineStr">
        <is>
          <t>на розмічених історичних даних precision не менше 0,8, recall не менше 0,7</t>
        </is>
      </c>
    </row>
    <row r="11">
      <c r="A11" s="9" t="inlineStr">
        <is>
          <t>3.3</t>
        </is>
      </c>
      <c r="B11" s="2" t="inlineStr">
        <is>
          <t>F7 Сповіщення і ескалація</t>
        </is>
      </c>
      <c r="C11" s="2" t="inlineStr">
        <is>
          <t>3.2</t>
        </is>
      </c>
      <c r="D11" s="2" t="inlineStr">
        <is>
          <t>Розробник 2</t>
        </is>
      </c>
      <c r="E11" s="4" t="n">
        <v>4</v>
      </c>
      <c r="F11" s="4" t="n">
        <v>0</v>
      </c>
      <c r="G11" s="4" t="n">
        <v>50</v>
      </c>
      <c r="H11" s="4" t="n">
        <v>14</v>
      </c>
      <c r="I11" s="4" t="n">
        <v>4</v>
      </c>
      <c r="J11" s="6">
        <f>SUM(E11:I11)</f>
        <v/>
      </c>
      <c r="K11" s="4" t="n">
        <v>7</v>
      </c>
      <c r="L11" s="4" t="n">
        <v>9</v>
      </c>
      <c r="M11" s="4" t="n">
        <v>13</v>
      </c>
      <c r="N11" s="7">
        <f>(K11+4*L11+M11)/6</f>
        <v/>
      </c>
      <c r="O11" s="7">
        <f>(M11-K11)/6</f>
        <v/>
      </c>
      <c r="P11" s="7">
        <f>O11^2</f>
        <v/>
      </c>
      <c r="Q11" s="10">
        <f>J11*N11/L11</f>
        <v/>
      </c>
      <c r="R11" s="7">
        <f>MAX(0,S10+0)</f>
        <v/>
      </c>
      <c r="S11" s="7">
        <f>R11+N11</f>
        <v/>
      </c>
      <c r="T11" s="7">
        <f>U11-N11</f>
        <v/>
      </c>
      <c r="U11" s="7">
        <f>MIN(proj_end,T12-0)</f>
        <v/>
      </c>
      <c r="V11" s="7">
        <f>T11-R11</f>
        <v/>
      </c>
      <c r="W11" s="11">
        <f>IF(ABS(V11)&lt;0.001,"так","ні")</f>
        <v/>
      </c>
      <c r="X11" s="12">
        <f>WORKDAY(p2_start,ROUNDDOWN(R11,0),p2_holidays)</f>
        <v/>
      </c>
      <c r="Y11" s="12">
        <f>WORKDAY(p2_start,ROUNDUP(S11,0)-1,p2_holidays)</f>
        <v/>
      </c>
      <c r="Z11" s="2" t="inlineStr">
        <is>
          <t>95% сповіщень надіслано до 2 хв після фіксації аномалії; ескалація SMS після 30 хв без підтвердження</t>
        </is>
      </c>
    </row>
    <row r="12">
      <c r="A12" s="9" t="inlineStr">
        <is>
          <t>4.1</t>
        </is>
      </c>
      <c r="B12" s="2" t="inlineStr">
        <is>
          <t>F8 Картка інциденту</t>
        </is>
      </c>
      <c r="C12" s="2" t="inlineStr">
        <is>
          <t>3.3</t>
        </is>
      </c>
      <c r="D12" s="2" t="inlineStr">
        <is>
          <t>Розробник 2</t>
        </is>
      </c>
      <c r="E12" s="4" t="n">
        <v>8</v>
      </c>
      <c r="F12" s="4" t="n">
        <v>0</v>
      </c>
      <c r="G12" s="4" t="n">
        <v>60</v>
      </c>
      <c r="H12" s="4" t="n">
        <v>18</v>
      </c>
      <c r="I12" s="4" t="n">
        <v>2</v>
      </c>
      <c r="J12" s="6">
        <f>SUM(E12:I12)</f>
        <v/>
      </c>
      <c r="K12" s="4" t="n">
        <v>9</v>
      </c>
      <c r="L12" s="4" t="n">
        <v>11</v>
      </c>
      <c r="M12" s="4" t="n">
        <v>15</v>
      </c>
      <c r="N12" s="7">
        <f>(K12+4*L12+M12)/6</f>
        <v/>
      </c>
      <c r="O12" s="7">
        <f>(M12-K12)/6</f>
        <v/>
      </c>
      <c r="P12" s="7">
        <f>O12^2</f>
        <v/>
      </c>
      <c r="Q12" s="10">
        <f>J12*N12/L12</f>
        <v/>
      </c>
      <c r="R12" s="7">
        <f>MAX(0,S11+0)</f>
        <v/>
      </c>
      <c r="S12" s="7">
        <f>R12+N12</f>
        <v/>
      </c>
      <c r="T12" s="7">
        <f>U12-N12</f>
        <v/>
      </c>
      <c r="U12" s="7">
        <f>MIN(proj_end,T13-0)</f>
        <v/>
      </c>
      <c r="V12" s="7">
        <f>T12-R12</f>
        <v/>
      </c>
      <c r="W12" s="11">
        <f>IF(ABS(V12)&lt;0.001,"так","ні")</f>
        <v/>
      </c>
      <c r="X12" s="12">
        <f>WORKDAY(p2_start,ROUNDDOWN(R12,0),p2_holidays)</f>
        <v/>
      </c>
      <c r="Y12" s="12">
        <f>WORKDAY(p2_start,ROUNDUP(S12,0)-1,p2_holidays)</f>
        <v/>
      </c>
      <c r="Z12" s="2" t="inlineStr">
        <is>
          <t>інцидент закривається лише з причиною з довідника; фіксується збережений обсяг кВт·год</t>
        </is>
      </c>
    </row>
    <row r="13">
      <c r="A13" s="9" t="inlineStr">
        <is>
          <t>4.2</t>
        </is>
      </c>
      <c r="B13" s="2" t="inlineStr">
        <is>
          <t>F9 Дашборд будівлі</t>
        </is>
      </c>
      <c r="C13" s="2" t="inlineStr">
        <is>
          <t>4.1</t>
        </is>
      </c>
      <c r="D13" s="2" t="inlineStr">
        <is>
          <t>Розробник 2</t>
        </is>
      </c>
      <c r="E13" s="4" t="n">
        <v>10</v>
      </c>
      <c r="F13" s="4" t="n">
        <v>0</v>
      </c>
      <c r="G13" s="4" t="n">
        <v>82</v>
      </c>
      <c r="H13" s="4" t="n">
        <v>22</v>
      </c>
      <c r="I13" s="4" t="n">
        <v>4</v>
      </c>
      <c r="J13" s="6">
        <f>SUM(E13:I13)</f>
        <v/>
      </c>
      <c r="K13" s="4" t="n">
        <v>11</v>
      </c>
      <c r="L13" s="4" t="n">
        <v>15</v>
      </c>
      <c r="M13" s="4" t="n">
        <v>23</v>
      </c>
      <c r="N13" s="7">
        <f>(K13+4*L13+M13)/6</f>
        <v/>
      </c>
      <c r="O13" s="7">
        <f>(M13-K13)/6</f>
        <v/>
      </c>
      <c r="P13" s="7">
        <f>O13^2</f>
        <v/>
      </c>
      <c r="Q13" s="10">
        <f>J13*N13/L13</f>
        <v/>
      </c>
      <c r="R13" s="7">
        <f>MAX(0,S12+0)</f>
        <v/>
      </c>
      <c r="S13" s="7">
        <f>R13+N13</f>
        <v/>
      </c>
      <c r="T13" s="7">
        <f>U13-N13</f>
        <v/>
      </c>
      <c r="U13" s="7">
        <f>MIN(proj_end,T17-0)</f>
        <v/>
      </c>
      <c r="V13" s="7">
        <f>T13-R13</f>
        <v/>
      </c>
      <c r="W13" s="11">
        <f>IF(ABS(V13)&lt;0.001,"так","ні")</f>
        <v/>
      </c>
      <c r="X13" s="12">
        <f>WORKDAY(p2_start,ROUNDDOWN(R13,0),p2_holidays)</f>
        <v/>
      </c>
      <c r="Y13" s="12">
        <f>WORKDAY(p2_start,ROUNDUP(S13,0)-1,p2_holidays)</f>
        <v/>
      </c>
      <c r="Z13" s="2" t="inlineStr">
        <is>
          <t>звіт за 30 діб для 30 лічильників (86 400 точок) відкривається до 2 с</t>
        </is>
      </c>
    </row>
    <row r="14">
      <c r="A14" s="2" t="inlineStr">
        <is>
          <t>4.3</t>
        </is>
      </c>
      <c r="B14" s="2" t="inlineStr">
        <is>
          <t>F10 Імпорт рахунку і звірка з вводом</t>
        </is>
      </c>
      <c r="C14" s="2" t="inlineStr">
        <is>
          <t>2.4</t>
        </is>
      </c>
      <c r="D14" s="2" t="inlineStr">
        <is>
          <t>Розробник 1</t>
        </is>
      </c>
      <c r="E14" s="4" t="n">
        <v>6</v>
      </c>
      <c r="F14" s="4" t="n">
        <v>38</v>
      </c>
      <c r="G14" s="4" t="n">
        <v>0</v>
      </c>
      <c r="H14" s="4" t="n">
        <v>12</v>
      </c>
      <c r="I14" s="4" t="n">
        <v>2</v>
      </c>
      <c r="J14" s="6">
        <f>SUM(E14:I14)</f>
        <v/>
      </c>
      <c r="K14" s="4" t="n">
        <v>6</v>
      </c>
      <c r="L14" s="4" t="n">
        <v>7</v>
      </c>
      <c r="M14" s="4" t="n">
        <v>10</v>
      </c>
      <c r="N14" s="7">
        <f>(K14+4*L14+M14)/6</f>
        <v/>
      </c>
      <c r="O14" s="7">
        <f>(M14-K14)/6</f>
        <v/>
      </c>
      <c r="P14" s="7">
        <f>O14^2</f>
        <v/>
      </c>
      <c r="Q14" s="10">
        <f>J14*N14/L14</f>
        <v/>
      </c>
      <c r="R14" s="7">
        <f>MAX(0,S8+0)</f>
        <v/>
      </c>
      <c r="S14" s="7">
        <f>R14+N14</f>
        <v/>
      </c>
      <c r="T14" s="7">
        <f>U14-N14</f>
        <v/>
      </c>
      <c r="U14" s="7">
        <f>MIN(proj_end,T15-0)</f>
        <v/>
      </c>
      <c r="V14" s="7">
        <f>T14-R14</f>
        <v/>
      </c>
      <c r="W14" s="6">
        <f>IF(ABS(V14)&lt;0.001,"так","ні")</f>
        <v/>
      </c>
      <c r="X14" s="12">
        <f>WORKDAY(p2_start,ROUNDDOWN(R14,0),p2_holidays)</f>
        <v/>
      </c>
      <c r="Y14" s="12">
        <f>WORKDAY(p2_start,ROUNDUP(S14,0)-1,p2_holidays)</f>
        <v/>
      </c>
      <c r="Z14" s="2" t="inlineStr">
        <is>
          <t>розбіжність понад 3% між рахунком і лічильником вводу позначається для перевірки</t>
        </is>
      </c>
    </row>
    <row r="15">
      <c r="A15" s="2" t="inlineStr">
        <is>
          <t>4.4</t>
        </is>
      </c>
      <c r="B15" s="2" t="inlineStr">
        <is>
          <t>F11 Звіт орендарю і ролі доступу</t>
        </is>
      </c>
      <c r="C15" s="2" t="inlineStr">
        <is>
          <t>4.3</t>
        </is>
      </c>
      <c r="D15" s="2" t="inlineStr">
        <is>
          <t>Розробник 1</t>
        </is>
      </c>
      <c r="E15" s="4" t="n">
        <v>6</v>
      </c>
      <c r="F15" s="4" t="n">
        <v>60</v>
      </c>
      <c r="G15" s="4" t="n">
        <v>0</v>
      </c>
      <c r="H15" s="4" t="n">
        <v>18</v>
      </c>
      <c r="I15" s="4" t="n">
        <v>4</v>
      </c>
      <c r="J15" s="6">
        <f>SUM(E15:I15)</f>
        <v/>
      </c>
      <c r="K15" s="4" t="n">
        <v>9</v>
      </c>
      <c r="L15" s="4" t="n">
        <v>11</v>
      </c>
      <c r="M15" s="4" t="n">
        <v>16</v>
      </c>
      <c r="N15" s="7">
        <f>(K15+4*L15+M15)/6</f>
        <v/>
      </c>
      <c r="O15" s="7">
        <f>(M15-K15)/6</f>
        <v/>
      </c>
      <c r="P15" s="7">
        <f>O15^2</f>
        <v/>
      </c>
      <c r="Q15" s="10">
        <f>J15*N15/L15</f>
        <v/>
      </c>
      <c r="R15" s="7">
        <f>MAX(0,S14+0)</f>
        <v/>
      </c>
      <c r="S15" s="7">
        <f>R15+N15</f>
        <v/>
      </c>
      <c r="T15" s="7">
        <f>U15-N15</f>
        <v/>
      </c>
      <c r="U15" s="7">
        <f>MIN(proj_end,T17-0)</f>
        <v/>
      </c>
      <c r="V15" s="7">
        <f>T15-R15</f>
        <v/>
      </c>
      <c r="W15" s="6">
        <f>IF(ABS(V15)&lt;0.001,"так","ні")</f>
        <v/>
      </c>
      <c r="X15" s="12">
        <f>WORKDAY(p2_start,ROUNDDOWN(R15,0),p2_holidays)</f>
        <v/>
      </c>
      <c r="Y15" s="12">
        <f>WORKDAY(p2_start,ROUNDUP(S15,0)-1,p2_holidays)</f>
        <v/>
      </c>
      <c r="Z15" s="2" t="inlineStr">
        <is>
          <t>PDF і CSV по власних точках обліку; 100% тестів RBAC пройдено; MFA для адміністраторів</t>
        </is>
      </c>
    </row>
    <row r="16">
      <c r="A16" s="2" t="inlineStr">
        <is>
          <t>5.1</t>
        </is>
      </c>
      <c r="B16" s="2" t="inlineStr">
        <is>
          <t>Тест-стенд: 6 типів лічильників і імітатор обривів</t>
        </is>
      </c>
      <c r="C16" s="2" t="inlineStr">
        <is>
          <t>1.2 SS+5</t>
        </is>
      </c>
      <c r="D16" s="2" t="inlineStr">
        <is>
          <t>QA</t>
        </is>
      </c>
      <c r="E16" s="4" t="n">
        <v>0</v>
      </c>
      <c r="F16" s="4" t="n">
        <v>0</v>
      </c>
      <c r="G16" s="4" t="n">
        <v>0</v>
      </c>
      <c r="H16" s="4" t="n">
        <v>30</v>
      </c>
      <c r="I16" s="4" t="n">
        <v>4</v>
      </c>
      <c r="J16" s="6">
        <f>SUM(E16:I16)</f>
        <v/>
      </c>
      <c r="K16" s="4" t="n">
        <v>15</v>
      </c>
      <c r="L16" s="4" t="n">
        <v>22</v>
      </c>
      <c r="M16" s="4" t="n">
        <v>32</v>
      </c>
      <c r="N16" s="7">
        <f>(K16+4*L16+M16)/6</f>
        <v/>
      </c>
      <c r="O16" s="7">
        <f>(M16-K16)/6</f>
        <v/>
      </c>
      <c r="P16" s="7">
        <f>O16^2</f>
        <v/>
      </c>
      <c r="Q16" s="10">
        <f>J16*N16/L16</f>
        <v/>
      </c>
      <c r="R16" s="7">
        <f>MAX(0,R3+5)</f>
        <v/>
      </c>
      <c r="S16" s="7">
        <f>R16+N16</f>
        <v/>
      </c>
      <c r="T16" s="7">
        <f>U16-N16</f>
        <v/>
      </c>
      <c r="U16" s="7">
        <f>MIN(proj_end,T8-0)</f>
        <v/>
      </c>
      <c r="V16" s="7">
        <f>T16-R16</f>
        <v/>
      </c>
      <c r="W16" s="6">
        <f>IF(ABS(V16)&lt;0.001,"так","ні")</f>
        <v/>
      </c>
      <c r="X16" s="12">
        <f>WORKDAY(p2_start,ROUNDDOWN(R16,0),p2_holidays)</f>
        <v/>
      </c>
      <c r="Y16" s="12">
        <f>WORKDAY(p2_start,ROUNDUP(S16,0)-1,p2_holidays)</f>
        <v/>
      </c>
      <c r="Z16" s="2" t="inlineStr">
        <is>
          <t>стенд RS-485 з 6 типами лічильників, керований імітатор обривів зв'язку, автотести інтеграції в CI</t>
        </is>
      </c>
    </row>
    <row r="17">
      <c r="A17" s="9" t="inlineStr">
        <is>
          <t>5.2</t>
        </is>
      </c>
      <c r="B17" s="2" t="inlineStr">
        <is>
          <t>Feature complete: системне і навантажувальне тестування</t>
        </is>
      </c>
      <c r="C17" s="2" t="inlineStr">
        <is>
          <t>4.2, 4.4</t>
        </is>
      </c>
      <c r="D17" s="2" t="inlineStr">
        <is>
          <t>QA</t>
        </is>
      </c>
      <c r="E17" s="4" t="n">
        <v>8</v>
      </c>
      <c r="F17" s="4" t="n">
        <v>24</v>
      </c>
      <c r="G17" s="4" t="n">
        <v>24</v>
      </c>
      <c r="H17" s="4" t="n">
        <v>40</v>
      </c>
      <c r="I17" s="4" t="n">
        <v>10</v>
      </c>
      <c r="J17" s="6">
        <f>SUM(E17:I17)</f>
        <v/>
      </c>
      <c r="K17" s="4" t="n">
        <v>8</v>
      </c>
      <c r="L17" s="4" t="n">
        <v>10</v>
      </c>
      <c r="M17" s="4" t="n">
        <v>16</v>
      </c>
      <c r="N17" s="7">
        <f>(K17+4*L17+M17)/6</f>
        <v/>
      </c>
      <c r="O17" s="7">
        <f>(M17-K17)/6</f>
        <v/>
      </c>
      <c r="P17" s="7">
        <f>O17^2</f>
        <v/>
      </c>
      <c r="Q17" s="10">
        <f>J17*N17/L17</f>
        <v/>
      </c>
      <c r="R17" s="7">
        <f>MAX(0,S13+0,S15+0)</f>
        <v/>
      </c>
      <c r="S17" s="7">
        <f>R17+N17</f>
        <v/>
      </c>
      <c r="T17" s="7">
        <f>U17-N17</f>
        <v/>
      </c>
      <c r="U17" s="7">
        <f>MIN(proj_end,T18-0,T20-0)</f>
        <v/>
      </c>
      <c r="V17" s="7">
        <f>T17-R17</f>
        <v/>
      </c>
      <c r="W17" s="11">
        <f>IF(ABS(V17)&lt;0.001,"так","ні")</f>
        <v/>
      </c>
      <c r="X17" s="12">
        <f>WORKDAY(p2_start,ROUNDDOWN(R17,0),p2_holidays)</f>
        <v/>
      </c>
      <c r="Y17" s="12">
        <f>WORKDAY(p2_start,ROUNDUP(S17,0)-1,p2_holidays)</f>
        <v/>
      </c>
      <c r="Z17" s="2" t="inlineStr">
        <is>
          <t>усі критерії приймання F1...F11 перевірено; NFR1 і NFR4 підтверджено навантажувальним тестом на 20 користувачах</t>
        </is>
      </c>
    </row>
    <row r="18">
      <c r="A18" s="9" t="inlineStr">
        <is>
          <t>5.3</t>
        </is>
      </c>
      <c r="B18" s="2" t="inlineStr">
        <is>
          <t>Стабілізація: виправлення дефектів і пентест RBAC</t>
        </is>
      </c>
      <c r="C18" s="2" t="inlineStr">
        <is>
          <t>5.2</t>
        </is>
      </c>
      <c r="D18" s="2" t="inlineStr">
        <is>
          <t>Розробник 1</t>
        </is>
      </c>
      <c r="E18" s="4" t="n">
        <v>4</v>
      </c>
      <c r="F18" s="4" t="n">
        <v>46</v>
      </c>
      <c r="G18" s="4" t="n">
        <v>46</v>
      </c>
      <c r="H18" s="4" t="n">
        <v>30</v>
      </c>
      <c r="I18" s="4" t="n">
        <v>8</v>
      </c>
      <c r="J18" s="6">
        <f>SUM(E18:I18)</f>
        <v/>
      </c>
      <c r="K18" s="4" t="n">
        <v>7</v>
      </c>
      <c r="L18" s="4" t="n">
        <v>10</v>
      </c>
      <c r="M18" s="4" t="n">
        <v>20</v>
      </c>
      <c r="N18" s="7">
        <f>(K18+4*L18+M18)/6</f>
        <v/>
      </c>
      <c r="O18" s="7">
        <f>(M18-K18)/6</f>
        <v/>
      </c>
      <c r="P18" s="7">
        <f>O18^2</f>
        <v/>
      </c>
      <c r="Q18" s="10">
        <f>J18*N18/L18</f>
        <v/>
      </c>
      <c r="R18" s="7">
        <f>MAX(0,S17+0)</f>
        <v/>
      </c>
      <c r="S18" s="7">
        <f>R18+N18</f>
        <v/>
      </c>
      <c r="T18" s="7">
        <f>U18-N18</f>
        <v/>
      </c>
      <c r="U18" s="7">
        <f>MIN(proj_end,T21-0)</f>
        <v/>
      </c>
      <c r="V18" s="7">
        <f>T18-R18</f>
        <v/>
      </c>
      <c r="W18" s="11">
        <f>IF(ABS(V18)&lt;0.001,"так","ні")</f>
        <v/>
      </c>
      <c r="X18" s="12">
        <f>WORKDAY(p2_start,ROUNDDOWN(R18,0),p2_holidays)</f>
        <v/>
      </c>
      <c r="Y18" s="12">
        <f>WORKDAY(p2_start,ROUNDUP(S18,0)-1,p2_holidays)</f>
        <v/>
      </c>
      <c r="Z18" s="2" t="inlineStr">
        <is>
          <t>0 відкритих дефектів критичного і високого рівня; звіт пентесту RBAC без критичних знахідок</t>
        </is>
      </c>
    </row>
    <row r="19">
      <c r="A19" s="2" t="inlineStr">
        <is>
          <t>5.4</t>
        </is>
      </c>
      <c r="B19" s="2" t="inlineStr">
        <is>
          <t>Пілот: монтаж шлюзу і накопичення 4 тижнів історії</t>
        </is>
      </c>
      <c r="C19" s="2" t="inlineStr">
        <is>
          <t>2.4, 1.3</t>
        </is>
      </c>
      <c r="D19" s="2" t="inlineStr">
        <is>
          <t>DevOps</t>
        </is>
      </c>
      <c r="E19" s="4" t="n">
        <v>16</v>
      </c>
      <c r="F19" s="4" t="n">
        <v>6</v>
      </c>
      <c r="G19" s="4" t="n">
        <v>0</v>
      </c>
      <c r="H19" s="4" t="n">
        <v>4</v>
      </c>
      <c r="I19" s="4" t="n">
        <v>24</v>
      </c>
      <c r="J19" s="6">
        <f>SUM(E19:I19)</f>
        <v/>
      </c>
      <c r="K19" s="4" t="n">
        <v>23</v>
      </c>
      <c r="L19" s="4" t="n">
        <v>25</v>
      </c>
      <c r="M19" s="4" t="n">
        <v>35</v>
      </c>
      <c r="N19" s="7">
        <f>(K19+4*L19+M19)/6</f>
        <v/>
      </c>
      <c r="O19" s="7">
        <f>(M19-K19)/6</f>
        <v/>
      </c>
      <c r="P19" s="7">
        <f>O19^2</f>
        <v/>
      </c>
      <c r="Q19" s="10">
        <f>J19*N19/L19</f>
        <v/>
      </c>
      <c r="R19" s="7">
        <f>MAX(0,S8+0,S4+0)</f>
        <v/>
      </c>
      <c r="S19" s="7">
        <f>R19+N19</f>
        <v/>
      </c>
      <c r="T19" s="7">
        <f>U19-N19</f>
        <v/>
      </c>
      <c r="U19" s="7">
        <f>MIN(proj_end,T20-0)</f>
        <v/>
      </c>
      <c r="V19" s="7">
        <f>T19-R19</f>
        <v/>
      </c>
      <c r="W19" s="6">
        <f>IF(ABS(V19)&lt;0.001,"так","ні")</f>
        <v/>
      </c>
      <c r="X19" s="12">
        <f>WORKDAY(p2_start,ROUNDDOWN(R19,0),p2_holidays)</f>
        <v/>
      </c>
      <c r="Y19" s="12">
        <f>WORKDAY(p2_start,ROUNDUP(S19,0)-1,p2_holidays)</f>
        <v/>
      </c>
      <c r="Z19" s="2" t="inlineStr">
        <is>
          <t>шлюз і 30 лічильників у пілотній будівлі передають дані; накопичено 28 діб історії для базової лінії F5</t>
        </is>
      </c>
    </row>
    <row r="20">
      <c r="A20" s="2" t="inlineStr">
        <is>
          <t>5.5</t>
        </is>
      </c>
      <c r="B20" s="2" t="inlineStr">
        <is>
          <t>Пілотна валідація на реальних даних</t>
        </is>
      </c>
      <c r="C20" s="2" t="inlineStr">
        <is>
          <t>5.4, 5.2</t>
        </is>
      </c>
      <c r="D20" s="2" t="inlineStr">
        <is>
          <t>BA/PM</t>
        </is>
      </c>
      <c r="E20" s="4" t="n">
        <v>18</v>
      </c>
      <c r="F20" s="4" t="n">
        <v>4</v>
      </c>
      <c r="G20" s="4" t="n">
        <v>6</v>
      </c>
      <c r="H20" s="4" t="n">
        <v>8</v>
      </c>
      <c r="I20" s="4" t="n">
        <v>4</v>
      </c>
      <c r="J20" s="6">
        <f>SUM(E20:I20)</f>
        <v/>
      </c>
      <c r="K20" s="4" t="n">
        <v>7</v>
      </c>
      <c r="L20" s="4" t="n">
        <v>10</v>
      </c>
      <c r="M20" s="4" t="n">
        <v>16</v>
      </c>
      <c r="N20" s="7">
        <f>(K20+4*L20+M20)/6</f>
        <v/>
      </c>
      <c r="O20" s="7">
        <f>(M20-K20)/6</f>
        <v/>
      </c>
      <c r="P20" s="7">
        <f>O20^2</f>
        <v/>
      </c>
      <c r="Q20" s="10">
        <f>J20*N20/L20</f>
        <v/>
      </c>
      <c r="R20" s="7">
        <f>MAX(0,S19+0,S17+0)</f>
        <v/>
      </c>
      <c r="S20" s="7">
        <f>R20+N20</f>
        <v/>
      </c>
      <c r="T20" s="7">
        <f>U20-N20</f>
        <v/>
      </c>
      <c r="U20" s="7">
        <f>MIN(proj_end,T21-0)</f>
        <v/>
      </c>
      <c r="V20" s="7">
        <f>T20-R20</f>
        <v/>
      </c>
      <c r="W20" s="6">
        <f>IF(ABS(V20)&lt;0.001,"так","ні")</f>
        <v/>
      </c>
      <c r="X20" s="12">
        <f>WORKDAY(p2_start,ROUNDDOWN(R20,0),p2_holidays)</f>
        <v/>
      </c>
      <c r="Y20" s="12">
        <f>WORKDAY(p2_start,ROUNDUP(S20,0)-1,p2_holidays)</f>
        <v/>
      </c>
      <c r="Z20" s="2" t="inlineStr">
        <is>
          <t>F6 на 28 добах реальних даних: precision не менше 0,8; F3: реальні обриви дозавантажено не менше 99,5%</t>
        </is>
      </c>
    </row>
    <row r="21">
      <c r="A21" s="9" t="inlineStr">
        <is>
          <t>5.6</t>
        </is>
      </c>
      <c r="B21" s="2" t="inlineStr">
        <is>
          <t>Release readiness: документація, навчання, go/no-go</t>
        </is>
      </c>
      <c r="C21" s="2" t="inlineStr">
        <is>
          <t>5.3, 5.5</t>
        </is>
      </c>
      <c r="D21" s="2" t="inlineStr">
        <is>
          <t>BA/PM</t>
        </is>
      </c>
      <c r="E21" s="4" t="n">
        <v>14</v>
      </c>
      <c r="F21" s="4" t="n">
        <v>4</v>
      </c>
      <c r="G21" s="4" t="n">
        <v>4</v>
      </c>
      <c r="H21" s="4" t="n">
        <v>6</v>
      </c>
      <c r="I21" s="4" t="n">
        <v>14</v>
      </c>
      <c r="J21" s="6">
        <f>SUM(E21:I21)</f>
        <v/>
      </c>
      <c r="K21" s="4" t="n">
        <v>4</v>
      </c>
      <c r="L21" s="4" t="n">
        <v>5</v>
      </c>
      <c r="M21" s="4" t="n">
        <v>8</v>
      </c>
      <c r="N21" s="7">
        <f>(K21+4*L21+M21)/6</f>
        <v/>
      </c>
      <c r="O21" s="7">
        <f>(M21-K21)/6</f>
        <v/>
      </c>
      <c r="P21" s="7">
        <f>O21^2</f>
        <v/>
      </c>
      <c r="Q21" s="10">
        <f>J21*N21/L21</f>
        <v/>
      </c>
      <c r="R21" s="7">
        <f>MAX(0,S18+0,S20+0)</f>
        <v/>
      </c>
      <c r="S21" s="7">
        <f>R21+N21</f>
        <v/>
      </c>
      <c r="T21" s="7">
        <f>U21-N21</f>
        <v/>
      </c>
      <c r="U21" s="7">
        <f>proj_end</f>
        <v/>
      </c>
      <c r="V21" s="7">
        <f>T21-R21</f>
        <v/>
      </c>
      <c r="W21" s="11">
        <f>IF(ABS(V21)&lt;0.001,"так","ні")</f>
        <v/>
      </c>
      <c r="X21" s="12">
        <f>WORKDAY(p2_start,ROUNDDOWN(R21,0),p2_holidays)</f>
        <v/>
      </c>
      <c r="Y21" s="12">
        <f>WORKDAY(p2_start,ROUNDUP(S21,0)-1,p2_holidays)</f>
        <v/>
      </c>
      <c r="Z21" s="2" t="inlineStr">
        <is>
          <t>runbook, інструкція енергоменеджера, навчання 1 год, рішення go/no-go власника пілотної будівлі</t>
        </is>
      </c>
    </row>
    <row r="22">
      <c r="N22" s="13" t="n"/>
      <c r="O22" s="13" t="n"/>
      <c r="P22" s="13" t="n"/>
      <c r="Q22" s="14" t="n"/>
      <c r="R22" s="13" t="n"/>
      <c r="S22" s="13" t="n"/>
      <c r="T22" s="13" t="n"/>
      <c r="U22" s="13" t="n"/>
      <c r="V22" s="13" t="n"/>
      <c r="X22" s="15" t="n"/>
      <c r="Y22" s="15" t="n"/>
    </row>
    <row r="23">
      <c r="A23" s="2" t="inlineStr">
        <is>
          <t>Разом</t>
        </is>
      </c>
      <c r="B23" s="2" t="inlineStr">
        <is>
          <t>тривалість проєкту за E, роб. днів; effort, год</t>
        </is>
      </c>
      <c r="C23" s="2" t="n"/>
      <c r="D23" s="2" t="n"/>
      <c r="E23" s="6">
        <f>SUM(E2:E21)</f>
        <v/>
      </c>
      <c r="F23" s="6">
        <f>SUM(F2:F21)</f>
        <v/>
      </c>
      <c r="G23" s="6">
        <f>SUM(G2:G21)</f>
        <v/>
      </c>
      <c r="H23" s="6">
        <f>SUM(H2:H21)</f>
        <v/>
      </c>
      <c r="I23" s="6">
        <f>SUM(I2:I21)</f>
        <v/>
      </c>
      <c r="J23" s="6">
        <f>SUM(J2:J21)</f>
        <v/>
      </c>
      <c r="K23" s="2" t="n"/>
      <c r="L23" s="2" t="n"/>
      <c r="M23" s="2" t="n"/>
      <c r="N23" s="16" t="n"/>
      <c r="O23" s="16" t="n"/>
      <c r="P23" s="16" t="n"/>
      <c r="Q23" s="10">
        <f>SUM(Q2:Q21)</f>
        <v/>
      </c>
      <c r="R23" s="16" t="n"/>
      <c r="S23" s="7">
        <f>MAX(S2:S21)</f>
        <v/>
      </c>
      <c r="T23" s="16" t="n"/>
      <c r="U23" s="16" t="n"/>
      <c r="V23" s="10">
        <f>COUNTIF(W2:W21,"так")</f>
        <v/>
      </c>
      <c r="W23" s="2" t="inlineStr">
        <is>
          <t>критичних</t>
        </is>
      </c>
      <c r="X23" s="17" t="n"/>
      <c r="Y23" s="17" t="n"/>
      <c r="Z23" s="2" t="n"/>
    </row>
  </sheetData>
  <pageMargins left="0.3" right="0.3" top="0.4" bottom="0.4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9" customWidth="1" min="3" max="3"/>
    <col width="22" customWidth="1" min="4" max="4"/>
    <col width="7" customWidth="1" min="5" max="5"/>
    <col width="7" customWidth="1" min="6" max="6"/>
    <col width="7" customWidth="1" min="7" max="7"/>
    <col width="7" customWidth="1" min="8" max="8"/>
    <col width="10" customWidth="1" min="9" max="9"/>
    <col width="60" customWidth="1" min="10" max="10"/>
  </cols>
  <sheetData>
    <row r="1">
      <c r="A1" s="1" t="inlineStr">
        <is>
          <t>ID</t>
        </is>
      </c>
      <c r="B1" s="1" t="inlineStr">
        <is>
          <t>Пакет</t>
        </is>
      </c>
      <c r="C1" s="1" t="inlineStr">
        <is>
          <t>O</t>
        </is>
      </c>
      <c r="D1" s="1" t="inlineStr">
        <is>
          <t>M</t>
        </is>
      </c>
      <c r="E1" s="1" t="inlineStr">
        <is>
          <t>P</t>
        </is>
      </c>
      <c r="F1" s="1" t="inlineStr">
        <is>
          <t>E</t>
        </is>
      </c>
      <c r="G1" s="1" t="inlineStr">
        <is>
          <t>σ</t>
        </is>
      </c>
      <c r="H1" s="1" t="inlineStr">
        <is>
          <t>Var</t>
        </is>
      </c>
      <c r="I1" s="1" t="inlineStr">
        <is>
          <t>Критичний</t>
        </is>
      </c>
      <c r="J1" s="1" t="inlineStr">
        <is>
          <t>Пояснення P</t>
        </is>
      </c>
    </row>
    <row r="2">
      <c r="A2" s="2" t="inlineStr">
        <is>
          <t>1.2</t>
        </is>
      </c>
      <c r="B2" s="2" t="inlineStr">
        <is>
          <t>Architecture spike: прототип шлюзу і вибір сховища</t>
        </is>
      </c>
      <c r="C2" s="6">
        <f>'WBS і CPM'!K3</f>
        <v/>
      </c>
      <c r="D2" s="6">
        <f>'WBS і CPM'!L3</f>
        <v/>
      </c>
      <c r="E2" s="6">
        <f>'WBS і CPM'!M3</f>
        <v/>
      </c>
      <c r="F2" s="7">
        <f>(C2+4*D2+E2)/6</f>
        <v/>
      </c>
      <c r="G2" s="7">
        <f>(E2-C2)/6</f>
        <v/>
      </c>
      <c r="H2" s="7">
        <f>G2^2</f>
        <v/>
      </c>
      <c r="I2" s="6">
        <f>'WBS і CPM'!W3</f>
        <v/>
      </c>
      <c r="J2" s="2" t="inlineStr">
        <is>
          <t>ключова невизначеність варіанта: карта регістрів Modbus надходить від постачальника лічильників (A12), частина лічильників відповідає нестабільно; у P закладено 2 ітерації очікування по 5 робочих днів</t>
        </is>
      </c>
    </row>
    <row r="3">
      <c r="A3" s="2" t="inlineStr">
        <is>
          <t>2.4</t>
        </is>
      </c>
      <c r="B3" s="2" t="inlineStr">
        <is>
          <t>F3 Деградований режим: буфер 72 год, дозавантаження</t>
        </is>
      </c>
      <c r="C3" s="6">
        <f>'WBS і CPM'!K8</f>
        <v/>
      </c>
      <c r="D3" s="6">
        <f>'WBS і CPM'!L8</f>
        <v/>
      </c>
      <c r="E3" s="6">
        <f>'WBS і CPM'!M8</f>
        <v/>
      </c>
      <c r="F3" s="7">
        <f>(C3+4*D3+E3)/6</f>
        <v/>
      </c>
      <c r="G3" s="7">
        <f>(E3-C3)/6</f>
        <v/>
      </c>
      <c r="H3" s="7">
        <f>G3^2</f>
        <v/>
      </c>
      <c r="I3" s="6">
        <f>'WBS і CPM'!W8</f>
        <v/>
      </c>
      <c r="J3" s="2" t="inlineStr">
        <is>
          <t>ключова невизначеність варіанта на рівні пакета: поведінка конкретних лічильників після перезапуску (скидання лічильника, перехід через нуль), ідемпотентність дозавантаження</t>
        </is>
      </c>
    </row>
    <row r="4">
      <c r="A4" s="2" t="inlineStr">
        <is>
          <t>3.2</t>
        </is>
      </c>
      <c r="B4" s="2" t="inlineStr">
        <is>
          <t>F6 Виявлення аномалій</t>
        </is>
      </c>
      <c r="C4" s="6">
        <f>'WBS і CPM'!K10</f>
        <v/>
      </c>
      <c r="D4" s="6">
        <f>'WBS і CPM'!L10</f>
        <v/>
      </c>
      <c r="E4" s="6">
        <f>'WBS і CPM'!M10</f>
        <v/>
      </c>
      <c r="F4" s="7">
        <f>(C4+4*D4+E4)/6</f>
        <v/>
      </c>
      <c r="G4" s="7">
        <f>(E4-C4)/6</f>
        <v/>
      </c>
      <c r="H4" s="7">
        <f>G4^2</f>
        <v/>
      </c>
      <c r="I4" s="6">
        <f>'WBS і CPM'!W10</f>
        <v/>
      </c>
      <c r="J4" s="2" t="inlineStr">
        <is>
          <t>поріг max(3σ; 10%) може потребувати 2...3 циклів налаштування на розмічених даних (A7)</t>
        </is>
      </c>
    </row>
    <row r="5">
      <c r="A5" s="2" t="inlineStr">
        <is>
          <t>4.2</t>
        </is>
      </c>
      <c r="B5" s="2" t="inlineStr">
        <is>
          <t>F9 Дашборд будівлі</t>
        </is>
      </c>
      <c r="C5" s="6">
        <f>'WBS і CPM'!K13</f>
        <v/>
      </c>
      <c r="D5" s="6">
        <f>'WBS і CPM'!L13</f>
        <v/>
      </c>
      <c r="E5" s="6">
        <f>'WBS і CPM'!M13</f>
        <v/>
      </c>
      <c r="F5" s="7">
        <f>(C5+4*D5+E5)/6</f>
        <v/>
      </c>
      <c r="G5" s="7">
        <f>(E5-C5)/6</f>
        <v/>
      </c>
      <c r="H5" s="7">
        <f>G5^2</f>
        <v/>
      </c>
      <c r="I5" s="6">
        <f>'WBS і CPM'!W13</f>
        <v/>
      </c>
      <c r="J5" s="2" t="inlineStr">
        <is>
          <t>агрегування 86 400 точок до 2 с може вимагати попередньо обчислених агрегатів</t>
        </is>
      </c>
    </row>
    <row r="6">
      <c r="A6" s="2" t="inlineStr">
        <is>
          <t>5.2</t>
        </is>
      </c>
      <c r="B6" s="2" t="inlineStr">
        <is>
          <t>Feature complete: системне і навантажувальне тестування</t>
        </is>
      </c>
      <c r="C6" s="6">
        <f>'WBS і CPM'!K17</f>
        <v/>
      </c>
      <c r="D6" s="6">
        <f>'WBS і CPM'!L17</f>
        <v/>
      </c>
      <c r="E6" s="6">
        <f>'WBS і CPM'!M17</f>
        <v/>
      </c>
      <c r="F6" s="7">
        <f>(C6+4*D6+E6)/6</f>
        <v/>
      </c>
      <c r="G6" s="7">
        <f>(E6-C6)/6</f>
        <v/>
      </c>
      <c r="H6" s="7">
        <f>G6^2</f>
        <v/>
      </c>
      <c r="I6" s="6">
        <f>'WBS і CPM'!W17</f>
        <v/>
      </c>
      <c r="J6" s="2" t="inlineStr"/>
    </row>
    <row r="7">
      <c r="A7" s="2" t="inlineStr">
        <is>
          <t>5.3</t>
        </is>
      </c>
      <c r="B7" s="2" t="inlineStr">
        <is>
          <t>Стабілізація: виправлення дефектів і пентест RBAC</t>
        </is>
      </c>
      <c r="C7" s="6">
        <f>'WBS і CPM'!K18</f>
        <v/>
      </c>
      <c r="D7" s="6">
        <f>'WBS і CPM'!L18</f>
        <v/>
      </c>
      <c r="E7" s="6">
        <f>'WBS і CPM'!M18</f>
        <v/>
      </c>
      <c r="F7" s="7">
        <f>(C7+4*D7+E7)/6</f>
        <v/>
      </c>
      <c r="G7" s="7">
        <f>(E7-C7)/6</f>
        <v/>
      </c>
      <c r="H7" s="7">
        <f>G7^2</f>
        <v/>
      </c>
      <c r="I7" s="6">
        <f>'WBS і CPM'!W18</f>
        <v/>
      </c>
      <c r="J7" s="2" t="inlineStr">
        <is>
          <t>кількість дефектів після інтеграції з реальними лічильниками невідома до 5.2</t>
        </is>
      </c>
    </row>
    <row r="9">
      <c r="A9" s="1" t="inlineStr">
        <is>
          <t>Показник</t>
        </is>
      </c>
      <c r="B9" s="1" t="inlineStr">
        <is>
          <t>Значення</t>
        </is>
      </c>
      <c r="C9" s="1" t="inlineStr">
        <is>
          <t>Одиниця</t>
        </is>
      </c>
      <c r="D9" s="1" t="inlineStr">
        <is>
          <t>Пояснення</t>
        </is>
      </c>
    </row>
    <row r="10">
      <c r="A10" s="2" t="inlineStr">
        <is>
          <t>μ = ΣE критичного шляху</t>
        </is>
      </c>
      <c r="B10" s="7">
        <f>SUMIF('WBS і CPM'!$W$2:$W$21,"так",'WBS і CPM'!$N$2:$N$21)</f>
        <v/>
      </c>
      <c r="C10" s="2" t="inlineStr">
        <is>
          <t>роб. днів</t>
        </is>
      </c>
      <c r="D10" s="2" t="inlineStr">
        <is>
          <t>P50 ≈ μ</t>
        </is>
      </c>
    </row>
    <row r="11">
      <c r="A11" s="2" t="inlineStr">
        <is>
          <t>ΣVar критичного шляху</t>
        </is>
      </c>
      <c r="B11" s="7">
        <f>SUMIF('WBS і CPM'!$W$2:$W$21,"так",'WBS і CPM'!$P$2:$P$21)</f>
        <v/>
      </c>
      <c r="C11" s="2" t="inlineStr">
        <is>
          <t>дні²</t>
        </is>
      </c>
      <c r="D11" s="2" t="inlineStr"/>
    </row>
    <row r="12">
      <c r="A12" s="2" t="inlineStr">
        <is>
          <t>σ шляху</t>
        </is>
      </c>
      <c r="B12" s="7">
        <f>SQRT(B11)</f>
        <v/>
      </c>
      <c r="C12" s="2" t="inlineStr">
        <is>
          <t>роб. днів</t>
        </is>
      </c>
      <c r="D12" s="2" t="inlineStr">
        <is>
          <t>√ΣVar</t>
        </is>
      </c>
    </row>
    <row r="13">
      <c r="A13" s="2" t="inlineStr">
        <is>
          <t>P50</t>
        </is>
      </c>
      <c r="B13" s="7">
        <f>B10</f>
        <v/>
      </c>
      <c r="C13" s="2" t="inlineStr">
        <is>
          <t>роб. днів</t>
        </is>
      </c>
      <c r="D13" s="2" t="inlineStr">
        <is>
          <t>аналітично</t>
        </is>
      </c>
    </row>
    <row r="14">
      <c r="A14" s="2" t="inlineStr">
        <is>
          <t>P80</t>
        </is>
      </c>
      <c r="B14" s="7">
        <f>B10+p2_z80*B12</f>
        <v/>
      </c>
      <c r="C14" s="2" t="inlineStr">
        <is>
          <t>роб. днів</t>
        </is>
      </c>
      <c r="D14" s="2" t="inlineStr">
        <is>
          <t>μ + 0,842σ</t>
        </is>
      </c>
    </row>
    <row r="15">
      <c r="A15" s="2" t="inlineStr">
        <is>
          <t>Contingency за формулою</t>
        </is>
      </c>
      <c r="B15" s="7">
        <f>B14-B13</f>
        <v/>
      </c>
      <c r="C15" s="2" t="inlineStr">
        <is>
          <t>роб. днів</t>
        </is>
      </c>
      <c r="D15" s="2" t="inlineStr">
        <is>
          <t>P80 − P50</t>
        </is>
      </c>
    </row>
    <row r="16">
      <c r="A16" s="2" t="inlineStr">
        <is>
          <t>Контроль: кінець мережі за CPM</t>
        </is>
      </c>
      <c r="B16" s="7">
        <f>proj_end</f>
        <v/>
      </c>
      <c r="C16" s="2" t="inlineStr">
        <is>
          <t>роб. днів</t>
        </is>
      </c>
      <c r="D16" s="2" t="inlineStr">
        <is>
          <t>має дорівнювати μ</t>
        </is>
      </c>
    </row>
    <row r="17">
      <c r="A17" s="2" t="inlineStr">
        <is>
          <t>P80 за Монте-Карло</t>
        </is>
      </c>
      <c r="B17" s="7">
        <f>p2_mc_p80</f>
        <v/>
      </c>
      <c r="C17" s="2" t="inlineStr">
        <is>
          <t>роб. днів</t>
        </is>
      </c>
      <c r="D17" s="2" t="inlineStr">
        <is>
          <t>враховує злиття шляхів</t>
        </is>
      </c>
    </row>
    <row r="18">
      <c r="A18" s="2" t="inlineStr">
        <is>
          <t>Baseline</t>
        </is>
      </c>
      <c r="B18" s="7">
        <f>ROUNDUP(MAX(B14,B17),0)</f>
        <v/>
      </c>
      <c r="C18" s="2" t="inlineStr">
        <is>
          <t>роб. днів</t>
        </is>
      </c>
      <c r="D18" s="2" t="inlineStr">
        <is>
          <t>більше з двох P80, ціле</t>
        </is>
      </c>
    </row>
    <row r="19">
      <c r="A19" s="2" t="inlineStr">
        <is>
          <t>Contingency у baseline</t>
        </is>
      </c>
      <c r="B19" s="7">
        <f>B18-B13</f>
        <v/>
      </c>
      <c r="C19" s="2" t="inlineStr">
        <is>
          <t>роб. днів</t>
        </is>
      </c>
      <c r="D19" s="2" t="inlineStr">
        <is>
          <t>baseline − P50</t>
        </is>
      </c>
    </row>
    <row r="20">
      <c r="A20" s="2" t="inlineStr">
        <is>
          <t>Management reserve</t>
        </is>
      </c>
      <c r="B20" s="7">
        <f>p2_mr</f>
        <v/>
      </c>
      <c r="C20" s="2" t="inlineStr">
        <is>
          <t>роб. днів</t>
        </is>
      </c>
      <c r="D20" s="2" t="inlineStr">
        <is>
          <t>поза baseline</t>
        </is>
      </c>
    </row>
    <row r="21">
      <c r="A21" s="2" t="inlineStr">
        <is>
          <t>Дата старту</t>
        </is>
      </c>
      <c r="B21" s="18">
        <f>p2_start</f>
        <v/>
      </c>
      <c r="C21" s="2" t="inlineStr">
        <is>
          <t>дата</t>
        </is>
      </c>
      <c r="D21" s="2" t="inlineStr"/>
    </row>
    <row r="22">
      <c r="A22" s="2" t="inlineStr">
        <is>
          <t>Дата P50</t>
        </is>
      </c>
      <c r="B22" s="18">
        <f>WORKDAY(p2_start,ROUNDUP(B13,0)-1,p2_holidays)</f>
        <v/>
      </c>
      <c r="C22" s="2" t="inlineStr">
        <is>
          <t>дата</t>
        </is>
      </c>
      <c r="D22" s="2" t="inlineStr"/>
    </row>
    <row r="23">
      <c r="A23" s="2" t="inlineStr">
        <is>
          <t>Baseline-дата</t>
        </is>
      </c>
      <c r="B23" s="18">
        <f>WORKDAY(p2_start,B18-1,p2_holidays)</f>
        <v/>
      </c>
      <c r="C23" s="2" t="inlineStr">
        <is>
          <t>дата</t>
        </is>
      </c>
      <c r="D23" s="2" t="inlineStr">
        <is>
          <t>з contingency</t>
        </is>
      </c>
    </row>
    <row r="24">
      <c r="A24" s="2" t="inlineStr">
        <is>
          <t>Дата з management reserve</t>
        </is>
      </c>
      <c r="B24" s="18">
        <f>WORKDAY(p2_start,B18+B20-1,p2_holidays)</f>
        <v/>
      </c>
      <c r="C24" s="2" t="inlineStr">
        <is>
          <t>дата</t>
        </is>
      </c>
      <c r="D24" s="2" t="inlineStr">
        <is>
          <t>межа рішення спонсора</t>
        </is>
      </c>
    </row>
    <row r="25">
      <c r="A25" s="2" t="inlineStr">
        <is>
          <t>Baseline, тижнів</t>
        </is>
      </c>
      <c r="B25" s="7">
        <f>B18/p2_days_week</f>
        <v/>
      </c>
      <c r="C25" s="2" t="inlineStr">
        <is>
          <t>тиж.</t>
        </is>
      </c>
      <c r="D25" s="2" t="inlineStr"/>
    </row>
  </sheetData>
  <pageMargins left="0.3" right="0.3" top="0.4" bottom="0.4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14" customWidth="1" min="3" max="3"/>
    <col width="14" customWidth="1" min="4" max="4"/>
    <col width="12" customWidth="1" min="5" max="5"/>
    <col width="50" customWidth="1" min="6" max="6"/>
  </cols>
  <sheetData>
    <row r="1">
      <c r="A1" s="1" t="inlineStr">
        <is>
          <t>ID</t>
        </is>
      </c>
      <c r="B1" s="1" t="inlineStr">
        <is>
          <t>Backlog item</t>
        </is>
      </c>
      <c r="C1" s="1" t="inlineStr">
        <is>
          <t>SP</t>
        </is>
      </c>
      <c r="D1" s="1" t="inlineStr">
        <is>
          <t>Пакет WBS</t>
        </is>
      </c>
      <c r="F1" s="1" t="inlineStr">
        <is>
          <t>Чому така оцінка</t>
        </is>
      </c>
    </row>
    <row r="2">
      <c r="A2" s="2" t="inlineStr">
        <is>
          <t>B1</t>
        </is>
      </c>
      <c r="B2" s="2" t="inlineStr">
        <is>
          <t>F1 Реєстр будівлі й лічильників</t>
        </is>
      </c>
      <c r="C2" s="4" t="n">
        <v>8</v>
      </c>
      <c r="D2" s="2" t="inlineStr">
        <is>
          <t>2.1</t>
        </is>
      </c>
      <c r="F2" s="2" t="inlineStr">
        <is>
          <t>CRUD з деревом і перевіркою циклів, імпорт карти регістрів</t>
        </is>
      </c>
    </row>
    <row r="3">
      <c r="A3" s="2" t="inlineStr">
        <is>
          <t>B2</t>
        </is>
      </c>
      <c r="B3" s="2" t="inlineStr">
        <is>
          <t>F2 ПЗ шлюзу Modbus і MQTT</t>
        </is>
      </c>
      <c r="C3" s="4" t="n">
        <v>13</v>
      </c>
      <c r="D3" s="2" t="inlineStr">
        <is>
          <t>2.2</t>
        </is>
      </c>
      <c r="F3" s="2" t="inlineStr">
        <is>
          <t>два протоколи, імпульсні входи, QoS 1, невідомі реалізації Modbus</t>
        </is>
      </c>
    </row>
    <row r="4">
      <c r="A4" s="2" t="inlineStr">
        <is>
          <t>B3</t>
        </is>
      </c>
      <c r="B4" s="2" t="inlineStr">
        <is>
          <t>F3 Деградований режим</t>
        </is>
      </c>
      <c r="C4" s="4" t="n">
        <v>13</v>
      </c>
      <c r="D4" s="2" t="inlineStr">
        <is>
          <t>2.4</t>
        </is>
      </c>
      <c r="F4" s="2" t="inlineStr">
        <is>
          <t>буфер, ідемпотентне дозавантаження, статуси якості, ключова невизначеність</t>
        </is>
      </c>
    </row>
    <row r="5">
      <c r="A5" s="2" t="inlineStr">
        <is>
          <t>B4</t>
        </is>
      </c>
      <c r="B5" s="2" t="inlineStr">
        <is>
          <t>F4 Приймання показів і контроль якості</t>
        </is>
      </c>
      <c r="C5" s="4" t="n">
        <v>13</v>
      </c>
      <c r="D5" s="2" t="inlineStr">
        <is>
          <t>2.3</t>
        </is>
      </c>
      <c r="F5" s="2" t="inlineStr">
        <is>
          <t>чотири правила якості, перехід через нуль, різниця накопичувальних показів</t>
        </is>
      </c>
    </row>
    <row r="6">
      <c r="A6" s="2" t="inlineStr">
        <is>
          <t>B5</t>
        </is>
      </c>
      <c r="B6" s="2" t="inlineStr">
        <is>
          <t>F5 Базова лінія</t>
        </is>
      </c>
      <c r="C6" s="4" t="n">
        <v>8</v>
      </c>
      <c r="D6" s="2" t="inlineStr">
        <is>
          <t>3.1</t>
        </is>
      </c>
      <c r="F6" s="2" t="inlineStr">
        <is>
          <t>медіана і MAD по 96 слотах, перерахунок за розкладом</t>
        </is>
      </c>
    </row>
    <row r="7">
      <c r="A7" s="2" t="inlineStr">
        <is>
          <t>B6</t>
        </is>
      </c>
      <c r="B7" s="2" t="inlineStr">
        <is>
          <t>F6 Виявлення аномалій</t>
        </is>
      </c>
      <c r="C7" s="4" t="n">
        <v>13</v>
      </c>
      <c r="D7" s="2" t="inlineStr">
        <is>
          <t>3.2</t>
        </is>
      </c>
      <c r="F7" s="2" t="inlineStr">
        <is>
          <t>правило 4 інтервалів, нічне навантаження, налаштування порогу на розмічених даних</t>
        </is>
      </c>
    </row>
    <row r="8">
      <c r="A8" s="2" t="inlineStr">
        <is>
          <t>B7</t>
        </is>
      </c>
      <c r="B8" s="2" t="inlineStr">
        <is>
          <t>F7 Сповіщення і ескалація</t>
        </is>
      </c>
      <c r="C8" s="4" t="n">
        <v>8</v>
      </c>
      <c r="D8" s="2" t="inlineStr">
        <is>
          <t>3.3</t>
        </is>
      </c>
      <c r="F8" s="2" t="inlineStr">
        <is>
          <t>три канали, ескалація, оцінка перевитрати в кВт·год і EUR</t>
        </is>
      </c>
    </row>
    <row r="9">
      <c r="A9" s="2" t="inlineStr">
        <is>
          <t>B8</t>
        </is>
      </c>
      <c r="B9" s="2" t="inlineStr">
        <is>
          <t>F8 Картка інциденту</t>
        </is>
      </c>
      <c r="C9" s="4" t="n">
        <v>8</v>
      </c>
      <c r="D9" s="2" t="inlineStr">
        <is>
          <t>4.1</t>
        </is>
      </c>
      <c r="F9" s="2" t="inlineStr">
        <is>
          <t>життєвий цикл інциденту, довідник причин, підтвердження повернення до бази</t>
        </is>
      </c>
    </row>
    <row r="10">
      <c r="A10" s="2" t="inlineStr">
        <is>
          <t>B9</t>
        </is>
      </c>
      <c r="B10" s="2" t="inlineStr">
        <is>
          <t>F9 Дашборд будівлі</t>
        </is>
      </c>
      <c r="C10" s="4" t="n">
        <v>13</v>
      </c>
      <c r="D10" s="2" t="inlineStr">
        <is>
          <t>4.2</t>
        </is>
      </c>
      <c r="F10" s="2" t="inlineStr">
        <is>
          <t>профіль доби, факт і база, топ 5 споживачів, продуктивність 2 с</t>
        </is>
      </c>
    </row>
    <row r="11">
      <c r="A11" s="2" t="inlineStr">
        <is>
          <t>B10</t>
        </is>
      </c>
      <c r="B11" s="2" t="inlineStr">
        <is>
          <t>F10 Імпорт рахунку і звірка</t>
        </is>
      </c>
      <c r="C11" s="4" t="n">
        <v>8</v>
      </c>
      <c r="D11" s="2" t="inlineStr">
        <is>
          <t>4.3</t>
        </is>
      </c>
      <c r="F11" s="2" t="inlineStr">
        <is>
          <t>формат CSV двох постачальників, звірка з лічильником вводу, межі розрахункового періоду</t>
        </is>
      </c>
    </row>
    <row r="12">
      <c r="A12" s="2" t="inlineStr">
        <is>
          <t>B11</t>
        </is>
      </c>
      <c r="B12" s="2" t="inlineStr">
        <is>
          <t>F11 Звіт орендарю і ролі доступу</t>
        </is>
      </c>
      <c r="C12" s="4" t="n">
        <v>8</v>
      </c>
      <c r="D12" s="2" t="inlineStr">
        <is>
          <t>4.4</t>
        </is>
      </c>
      <c r="F12" s="2" t="inlineStr">
        <is>
          <t>PDF і CSV, RBAC, MFA для адміністраторів</t>
        </is>
      </c>
    </row>
    <row r="13">
      <c r="A13" s="2" t="inlineStr">
        <is>
          <t>B12</t>
        </is>
      </c>
      <c r="B13" s="2" t="inlineStr">
        <is>
          <t>NFR1 і NFR4: затримка і навантаження</t>
        </is>
      </c>
      <c r="C13" s="4" t="n">
        <v>3</v>
      </c>
      <c r="D13" s="2" t="inlineStr">
        <is>
          <t>5.2</t>
        </is>
      </c>
      <c r="F13" s="2" t="inlineStr">
        <is>
          <t>сценарій k6 і панелі затримки, без нової функціональності</t>
        </is>
      </c>
    </row>
    <row r="14">
      <c r="A14" s="2" t="inlineStr">
        <is>
          <t>Разом</t>
        </is>
      </c>
      <c r="B14" s="6">
        <f>IF(C14=p2_backlog,"Разом: збігається з варіантом","Разом: розбіжність")</f>
        <v/>
      </c>
      <c r="C14" s="6">
        <f>SUM(C2:C13)</f>
        <v/>
      </c>
      <c r="D14" s="2" t="n"/>
      <c r="F14" s="2" t="n"/>
    </row>
    <row r="16">
      <c r="A16" s="1" t="inlineStr">
        <is>
          <t>Спринт</t>
        </is>
      </c>
      <c r="B16" s="1" t="inlineStr">
        <is>
          <t>Velocity, SP</t>
        </is>
      </c>
    </row>
    <row r="17">
      <c r="A17" s="2" t="inlineStr">
        <is>
          <t>S1</t>
        </is>
      </c>
      <c r="B17" s="4" t="n">
        <v>17</v>
      </c>
    </row>
    <row r="18">
      <c r="A18" s="2" t="inlineStr">
        <is>
          <t>S2</t>
        </is>
      </c>
      <c r="B18" s="4" t="n">
        <v>19</v>
      </c>
    </row>
    <row r="19">
      <c r="A19" s="2" t="inlineStr">
        <is>
          <t>S3</t>
        </is>
      </c>
      <c r="B19" s="4" t="n">
        <v>16</v>
      </c>
    </row>
    <row r="20">
      <c r="A20" s="2" t="inlineStr">
        <is>
          <t>S4</t>
        </is>
      </c>
      <c r="B20" s="4" t="n">
        <v>21</v>
      </c>
    </row>
    <row r="21">
      <c r="A21" s="2" t="inlineStr">
        <is>
          <t>S5</t>
        </is>
      </c>
      <c r="B21" s="4" t="n">
        <v>18</v>
      </c>
    </row>
    <row r="22">
      <c r="A22" s="2" t="inlineStr">
        <is>
          <t>S6</t>
        </is>
      </c>
      <c r="B22" s="4" t="n">
        <v>20</v>
      </c>
    </row>
    <row r="24">
      <c r="A24" s="1" t="inlineStr">
        <is>
          <t>Сценарій</t>
        </is>
      </c>
      <c r="B24" s="1" t="inlineStr">
        <is>
          <t>Velocity, SP</t>
        </is>
      </c>
      <c r="C24" s="1" t="inlineStr">
        <is>
          <t>Backlog / v</t>
        </is>
      </c>
      <c r="D24" s="1" t="inlineStr">
        <is>
          <t>Спринтів</t>
        </is>
      </c>
      <c r="E24" s="1" t="inlineStr">
        <is>
          <t>Тижні</t>
        </is>
      </c>
    </row>
    <row r="25">
      <c r="A25" s="2" t="inlineStr">
        <is>
          <t>Fast: max</t>
        </is>
      </c>
      <c r="B25" s="6">
        <f>MAX(B17:B22)</f>
        <v/>
      </c>
      <c r="C25" s="7">
        <f>p2_backlog/B25</f>
        <v/>
      </c>
      <c r="D25" s="6">
        <f>ROUNDUP(p2_backlog/B25,0)</f>
        <v/>
      </c>
      <c r="E25" s="6">
        <f>D25*p2_sprint</f>
        <v/>
      </c>
    </row>
    <row r="26">
      <c r="A26" s="2" t="inlineStr">
        <is>
          <t>Central: медіана</t>
        </is>
      </c>
      <c r="B26" s="6">
        <f>MEDIAN(B17:B22)</f>
        <v/>
      </c>
      <c r="C26" s="7">
        <f>p2_backlog/B26</f>
        <v/>
      </c>
      <c r="D26" s="6">
        <f>ROUNDUP(p2_backlog/B26,0)</f>
        <v/>
      </c>
      <c r="E26" s="6">
        <f>D26*p2_sprint</f>
        <v/>
      </c>
    </row>
    <row r="27">
      <c r="A27" s="2" t="inlineStr">
        <is>
          <t>Slow: min</t>
        </is>
      </c>
      <c r="B27" s="6">
        <f>MIN(B17:B22)</f>
        <v/>
      </c>
      <c r="C27" s="7">
        <f>p2_backlog/B27</f>
        <v/>
      </c>
      <c r="D27" s="6">
        <f>ROUNDUP(p2_backlog/B27,0)</f>
        <v/>
      </c>
      <c r="E27" s="6">
        <f>D27*p2_sprint</f>
        <v/>
      </c>
    </row>
    <row r="29">
      <c r="A29" s="1" t="inlineStr">
        <is>
          <t>Повна тривалість</t>
        </is>
      </c>
      <c r="B29" s="1" t="inlineStr">
        <is>
          <t>До спринтів (1.1, 1.2), роб. днів</t>
        </is>
      </c>
      <c r="C29" s="1" t="inlineStr">
        <is>
          <t>Спринти, днів</t>
        </is>
      </c>
      <c r="D29" s="1" t="inlineStr">
        <is>
          <t>Після FC, днів</t>
        </is>
      </c>
      <c r="E29" s="1" t="inlineStr">
        <is>
          <t>Тижнів</t>
        </is>
      </c>
    </row>
    <row r="30">
      <c r="A30" s="2" t="inlineStr">
        <is>
          <t>Fast</t>
        </is>
      </c>
      <c r="B30" s="7">
        <f>'WBS і CPM'!S3</f>
        <v/>
      </c>
      <c r="C30" s="6">
        <f>E25*p2_days_week</f>
        <v/>
      </c>
      <c r="D30" s="7">
        <f>proj_end-MAX('WBS і CPM'!S5,'WBS і CPM'!S6,'WBS і CPM'!S7,'WBS і CPM'!S8,'WBS і CPM'!S9,'WBS і CPM'!S10,'WBS і CPM'!S11,'WBS і CPM'!S12,'WBS і CPM'!S13,'WBS і CPM'!S14,'WBS і CPM'!S15)</f>
        <v/>
      </c>
      <c r="E30" s="7">
        <f>(B30+C30+D30)/p2_days_week</f>
        <v/>
      </c>
    </row>
    <row r="31">
      <c r="A31" s="2" t="inlineStr">
        <is>
          <t>Central</t>
        </is>
      </c>
      <c r="B31" s="7">
        <f>'WBS і CPM'!S3</f>
        <v/>
      </c>
      <c r="C31" s="6">
        <f>E26*p2_days_week</f>
        <v/>
      </c>
      <c r="D31" s="7">
        <f>proj_end-MAX('WBS і CPM'!S5,'WBS і CPM'!S6,'WBS і CPM'!S7,'WBS і CPM'!S8,'WBS і CPM'!S9,'WBS і CPM'!S10,'WBS і CPM'!S11,'WBS і CPM'!S12,'WBS і CPM'!S13,'WBS і CPM'!S14,'WBS і CPM'!S15)</f>
        <v/>
      </c>
      <c r="E31" s="7">
        <f>(B31+C31+D31)/p2_days_week</f>
        <v/>
      </c>
    </row>
    <row r="32">
      <c r="A32" s="2" t="inlineStr">
        <is>
          <t>Slow</t>
        </is>
      </c>
      <c r="B32" s="7">
        <f>'WBS і CPM'!S3</f>
        <v/>
      </c>
      <c r="C32" s="6">
        <f>E27*p2_days_week</f>
        <v/>
      </c>
      <c r="D32" s="7">
        <f>proj_end-MAX('WBS і CPM'!S5,'WBS і CPM'!S6,'WBS і CPM'!S7,'WBS і CPM'!S8,'WBS і CPM'!S9,'WBS і CPM'!S10,'WBS і CPM'!S11,'WBS і CPM'!S12,'WBS і CPM'!S13,'WBS і CPM'!S14,'WBS і CPM'!S15)</f>
        <v/>
      </c>
      <c r="E32" s="7">
        <f>(B32+C32+D32)/p2_days_week</f>
        <v/>
      </c>
    </row>
  </sheetData>
  <pageMargins left="0.3" right="0.3" top="0.4" bottom="0.4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52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30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Актор</t>
        </is>
      </c>
      <c r="B1" s="1" t="inlineStr">
        <is>
          <t>Тип S/A/C</t>
        </is>
      </c>
      <c r="C1" s="1" t="inlineStr">
        <is>
          <t>Правило</t>
        </is>
      </c>
      <c r="D1" s="1" t="inlineStr">
        <is>
          <t>Вага</t>
        </is>
      </c>
    </row>
    <row r="2">
      <c r="A2" s="2" t="inlineStr">
        <is>
          <t>SMS-шлюз (REST API)</t>
        </is>
      </c>
      <c r="B2" s="2" t="inlineStr">
        <is>
          <t>S</t>
        </is>
      </c>
      <c r="C2" s="2" t="inlineStr">
        <is>
          <t>системний API</t>
        </is>
      </c>
      <c r="D2" s="6">
        <f>IF(B2="S",1,IF(B2="A",2,3))</f>
        <v/>
      </c>
    </row>
    <row r="3">
      <c r="A3" s="2" t="inlineStr">
        <is>
          <t>Сервіс транзакційної пошти (REST API)</t>
        </is>
      </c>
      <c r="B3" s="2" t="inlineStr">
        <is>
          <t>S</t>
        </is>
      </c>
      <c r="C3" s="2" t="inlineStr">
        <is>
          <t>системний API</t>
        </is>
      </c>
      <c r="D3" s="6">
        <f>IF(B3="S",1,IF(B3="A",2,3))</f>
        <v/>
      </c>
    </row>
    <row r="4">
      <c r="A4" s="2" t="inlineStr">
        <is>
          <t>Bot API месенджера</t>
        </is>
      </c>
      <c r="B4" s="2" t="inlineStr">
        <is>
          <t>S</t>
        </is>
      </c>
      <c r="C4" s="2" t="inlineStr">
        <is>
          <t>системний API</t>
        </is>
      </c>
      <c r="D4" s="6">
        <f>IF(B4="S",1,IF(B4="A",2,3))</f>
        <v/>
      </c>
    </row>
    <row r="5">
      <c r="A5" s="2" t="inlineStr">
        <is>
          <t>Шлюз з лічильниками (Modbus RTU/TCP, MQTT 5)</t>
        </is>
      </c>
      <c r="B5" s="2" t="inlineStr">
        <is>
          <t>A</t>
        </is>
      </c>
      <c r="C5" s="2" t="inlineStr">
        <is>
          <t>взаємодія через протокол</t>
        </is>
      </c>
      <c r="D5" s="6">
        <f>IF(B5="S",1,IF(B5="A",2,3))</f>
        <v/>
      </c>
    </row>
    <row r="6">
      <c r="A6" s="2" t="inlineStr">
        <is>
          <t>Енергоменеджер або власник (адміністративна роль будівлі)</t>
        </is>
      </c>
      <c r="B6" s="2" t="inlineStr">
        <is>
          <t>C</t>
        </is>
      </c>
      <c r="C6" s="2" t="inlineStr">
        <is>
          <t>людина через GUI</t>
        </is>
      </c>
      <c r="D6" s="6">
        <f>IF(B6="S",1,IF(B6="A",2,3))</f>
        <v/>
      </c>
    </row>
    <row r="7">
      <c r="A7" s="2" t="inlineStr">
        <is>
          <t>Технік служби експлуатації</t>
        </is>
      </c>
      <c r="B7" s="2" t="inlineStr">
        <is>
          <t>C</t>
        </is>
      </c>
      <c r="C7" s="2" t="inlineStr">
        <is>
          <t>людина через GUI</t>
        </is>
      </c>
      <c r="D7" s="6">
        <f>IF(B7="S",1,IF(B7="A",2,3))</f>
        <v/>
      </c>
    </row>
    <row r="9">
      <c r="A9" s="1" t="inlineStr">
        <is>
          <t>Use case</t>
        </is>
      </c>
      <c r="B9" s="1" t="inlineStr">
        <is>
          <t>Транзакцій</t>
        </is>
      </c>
      <c r="C9" s="1" t="inlineStr">
        <is>
          <t>Функція</t>
        </is>
      </c>
      <c r="D9" s="1" t="inlineStr">
        <is>
          <t>Тип S/A/C</t>
        </is>
      </c>
      <c r="E9" s="1" t="inlineStr">
        <is>
          <t>Вага</t>
        </is>
      </c>
    </row>
    <row r="10">
      <c r="A10" s="2" t="inlineStr">
        <is>
          <t>UC1 Зареєструвати будівлю і ієрархію лічильників</t>
        </is>
      </c>
      <c r="B10" s="4" t="n">
        <v>6</v>
      </c>
      <c r="C10" s="2" t="inlineStr">
        <is>
          <t>F1</t>
        </is>
      </c>
      <c r="D10" s="6">
        <f>IF(B10&lt;=3,"S",IF(B10&lt;=7,"A","C"))</f>
        <v/>
      </c>
      <c r="E10" s="6">
        <f>IF(D10="S",5,IF(D10="A",10,15))</f>
        <v/>
      </c>
    </row>
    <row r="11">
      <c r="A11" s="2" t="inlineStr">
        <is>
          <t>UC2 Налаштувати шлюз і розклад опитування</t>
        </is>
      </c>
      <c r="B11" s="4" t="n">
        <v>5</v>
      </c>
      <c r="C11" s="2" t="inlineStr">
        <is>
          <t>F2</t>
        </is>
      </c>
      <c r="D11" s="6">
        <f>IF(B11&lt;=3,"S",IF(B11&lt;=7,"A","C"))</f>
        <v/>
      </c>
      <c r="E11" s="6">
        <f>IF(D11="S",5,IF(D11="A",10,15))</f>
        <v/>
      </c>
    </row>
    <row r="12">
      <c r="A12" s="2" t="inlineStr">
        <is>
          <t>UC3 Передати пакет показів</t>
        </is>
      </c>
      <c r="B12" s="4" t="n">
        <v>3</v>
      </c>
      <c r="C12" s="2" t="inlineStr">
        <is>
          <t>F2</t>
        </is>
      </c>
      <c r="D12" s="6">
        <f>IF(B12&lt;=3,"S",IF(B12&lt;=7,"A","C"))</f>
        <v/>
      </c>
      <c r="E12" s="6">
        <f>IF(D12="S",5,IF(D12="A",10,15))</f>
        <v/>
      </c>
    </row>
    <row r="13">
      <c r="A13" s="2" t="inlineStr">
        <is>
          <t>UC4 Дозавантажити буфер після обриву зв'язку</t>
        </is>
      </c>
      <c r="B13" s="4" t="n">
        <v>9</v>
      </c>
      <c r="C13" s="2" t="inlineStr">
        <is>
          <t>F3</t>
        </is>
      </c>
      <c r="D13" s="6">
        <f>IF(B13&lt;=3,"S",IF(B13&lt;=7,"A","C"))</f>
        <v/>
      </c>
      <c r="E13" s="6">
        <f>IF(D13="S",5,IF(D13="A",10,15))</f>
        <v/>
      </c>
    </row>
    <row r="14">
      <c r="A14" s="2" t="inlineStr">
        <is>
          <t>UC5 Перевірити якість показу</t>
        </is>
      </c>
      <c r="B14" s="4" t="n">
        <v>5</v>
      </c>
      <c r="C14" s="2" t="inlineStr">
        <is>
          <t>F4</t>
        </is>
      </c>
      <c r="D14" s="6">
        <f>IF(B14&lt;=3,"S",IF(B14&lt;=7,"A","C"))</f>
        <v/>
      </c>
      <c r="E14" s="6">
        <f>IF(D14="S",5,IF(D14="A",10,15))</f>
        <v/>
      </c>
    </row>
    <row r="15">
      <c r="A15" s="2" t="inlineStr">
        <is>
          <t>UC6 Перерахувати базову лінію</t>
        </is>
      </c>
      <c r="B15" s="4" t="n">
        <v>4</v>
      </c>
      <c r="C15" s="2" t="inlineStr">
        <is>
          <t>F5</t>
        </is>
      </c>
      <c r="D15" s="6">
        <f>IF(B15&lt;=3,"S",IF(B15&lt;=7,"A","C"))</f>
        <v/>
      </c>
      <c r="E15" s="6">
        <f>IF(D15="S",5,IF(D15="A",10,15))</f>
        <v/>
      </c>
    </row>
    <row r="16">
      <c r="A16" s="2" t="inlineStr">
        <is>
          <t>UC7 Виявити аномалію і оцінити перевитрату</t>
        </is>
      </c>
      <c r="B16" s="4" t="n">
        <v>8</v>
      </c>
      <c r="C16" s="2" t="inlineStr">
        <is>
          <t>F6</t>
        </is>
      </c>
      <c r="D16" s="6">
        <f>IF(B16&lt;=3,"S",IF(B16&lt;=7,"A","C"))</f>
        <v/>
      </c>
      <c r="E16" s="6">
        <f>IF(D16="S",5,IF(D16="A",10,15))</f>
        <v/>
      </c>
    </row>
    <row r="17">
      <c r="A17" s="2" t="inlineStr">
        <is>
          <t>UC8 Надіслати сповіщення з ескалацією</t>
        </is>
      </c>
      <c r="B17" s="4" t="n">
        <v>6</v>
      </c>
      <c r="C17" s="2" t="inlineStr">
        <is>
          <t>F7</t>
        </is>
      </c>
      <c r="D17" s="6">
        <f>IF(B17&lt;=3,"S",IF(B17&lt;=7,"A","C"))</f>
        <v/>
      </c>
      <c r="E17" s="6">
        <f>IF(D17="S",5,IF(D17="A",10,15))</f>
        <v/>
      </c>
    </row>
    <row r="18">
      <c r="A18" s="2" t="inlineStr">
        <is>
          <t>UC9 Опрацювати інцидент до повернення до бази</t>
        </is>
      </c>
      <c r="B18" s="4" t="n">
        <v>10</v>
      </c>
      <c r="C18" s="2" t="inlineStr">
        <is>
          <t>F8</t>
        </is>
      </c>
      <c r="D18" s="6">
        <f>IF(B18&lt;=3,"S",IF(B18&lt;=7,"A","C"))</f>
        <v/>
      </c>
      <c r="E18" s="6">
        <f>IF(D18="S",5,IF(D18="A",10,15))</f>
        <v/>
      </c>
    </row>
    <row r="19">
      <c r="A19" s="2" t="inlineStr">
        <is>
          <t>UC10 Переглянути дашборд будівлі</t>
        </is>
      </c>
      <c r="B19" s="4" t="n">
        <v>3</v>
      </c>
      <c r="C19" s="2" t="inlineStr">
        <is>
          <t>F9</t>
        </is>
      </c>
      <c r="D19" s="6">
        <f>IF(B19&lt;=3,"S",IF(B19&lt;=7,"A","C"))</f>
        <v/>
      </c>
      <c r="E19" s="6">
        <f>IF(D19="S",5,IF(D19="A",10,15))</f>
        <v/>
      </c>
    </row>
    <row r="20">
      <c r="A20" s="2" t="inlineStr">
        <is>
          <t>UC11 Імпортувати рахунок і звірити з вводом</t>
        </is>
      </c>
      <c r="B20" s="4" t="n">
        <v>5</v>
      </c>
      <c r="C20" s="2" t="inlineStr">
        <is>
          <t>F10</t>
        </is>
      </c>
      <c r="D20" s="6">
        <f>IF(B20&lt;=3,"S",IF(B20&lt;=7,"A","C"))</f>
        <v/>
      </c>
      <c r="E20" s="6">
        <f>IF(D20="S",5,IF(D20="A",10,15))</f>
        <v/>
      </c>
    </row>
    <row r="21">
      <c r="A21" s="2" t="inlineStr">
        <is>
          <t>UC12 Сформувати і надіслати звіт орендарю</t>
        </is>
      </c>
      <c r="B21" s="4" t="n">
        <v>5</v>
      </c>
      <c r="C21" s="2" t="inlineStr">
        <is>
          <t>F11</t>
        </is>
      </c>
      <c r="D21" s="6">
        <f>IF(B21&lt;=3,"S",IF(B21&lt;=7,"A","C"))</f>
        <v/>
      </c>
      <c r="E21" s="6">
        <f>IF(D21="S",5,IF(D21="A",10,15))</f>
        <v/>
      </c>
    </row>
    <row r="22">
      <c r="A22" s="2" t="inlineStr">
        <is>
          <t>UC13 Призначити роль доступу</t>
        </is>
      </c>
      <c r="B22" s="4" t="n">
        <v>2</v>
      </c>
      <c r="C22" s="2" t="inlineStr">
        <is>
          <t>F11, NFR5</t>
        </is>
      </c>
      <c r="D22" s="6">
        <f>IF(B22&lt;=3,"S",IF(B22&lt;=7,"A","C"))</f>
        <v/>
      </c>
      <c r="E22" s="6">
        <f>IF(D22="S",5,IF(D22="A",10,15))</f>
        <v/>
      </c>
    </row>
    <row r="23">
      <c r="A23" s="2" t="inlineStr">
        <is>
          <t>UC14 Увійти з MFA</t>
        </is>
      </c>
      <c r="B23" s="4" t="n">
        <v>3</v>
      </c>
      <c r="C23" s="2" t="inlineStr">
        <is>
          <t>NFR5</t>
        </is>
      </c>
      <c r="D23" s="6">
        <f>IF(B23&lt;=3,"S",IF(B23&lt;=7,"A","C"))</f>
        <v/>
      </c>
      <c r="E23" s="6">
        <f>IF(D23="S",5,IF(D23="A",10,15))</f>
        <v/>
      </c>
    </row>
    <row r="24">
      <c r="A24" s="2" t="inlineStr">
        <is>
          <t>UC15 Переглянути стан шлюзів і якість даних</t>
        </is>
      </c>
      <c r="B24" s="4" t="n">
        <v>2</v>
      </c>
      <c r="C24" s="2" t="inlineStr">
        <is>
          <t>F3, F4</t>
        </is>
      </c>
      <c r="D24" s="6">
        <f>IF(B24&lt;=3,"S",IF(B24&lt;=7,"A","C"))</f>
        <v/>
      </c>
      <c r="E24" s="6">
        <f>IF(D24="S",5,IF(D24="A",10,15))</f>
        <v/>
      </c>
    </row>
    <row r="26">
      <c r="A26" s="1" t="inlineStr">
        <is>
          <t>Компонент</t>
        </is>
      </c>
      <c r="B26" s="1" t="inlineStr">
        <is>
          <t>Кількість</t>
        </is>
      </c>
      <c r="C26" s="1" t="inlineStr">
        <is>
          <t>Вага</t>
        </is>
      </c>
      <c r="D26" s="1" t="inlineStr">
        <is>
          <t>Результат</t>
        </is>
      </c>
    </row>
    <row r="27">
      <c r="A27" s="2" t="inlineStr">
        <is>
          <t>Прості актори</t>
        </is>
      </c>
      <c r="B27" s="6">
        <f>COUNTIF(B2:B7,"S")</f>
        <v/>
      </c>
      <c r="C27" s="6" t="n">
        <v>1</v>
      </c>
      <c r="D27" s="7">
        <f>B27*C27</f>
        <v/>
      </c>
    </row>
    <row r="28">
      <c r="A28" s="2" t="inlineStr">
        <is>
          <t>Середні актори</t>
        </is>
      </c>
      <c r="B28" s="6">
        <f>COUNTIF(B2:B7,"A")</f>
        <v/>
      </c>
      <c r="C28" s="6" t="n">
        <v>2</v>
      </c>
      <c r="D28" s="7">
        <f>B28*C28</f>
        <v/>
      </c>
    </row>
    <row r="29">
      <c r="A29" s="2" t="inlineStr">
        <is>
          <t>Складні актори</t>
        </is>
      </c>
      <c r="B29" s="6">
        <f>COUNTIF(B2:B7,"C")</f>
        <v/>
      </c>
      <c r="C29" s="6" t="n">
        <v>3</v>
      </c>
      <c r="D29" s="7">
        <f>B29*C29</f>
        <v/>
      </c>
    </row>
    <row r="30">
      <c r="A30" s="2" t="inlineStr">
        <is>
          <t>UAW</t>
        </is>
      </c>
      <c r="B30" s="2" t="inlineStr"/>
      <c r="C30" s="2" t="inlineStr"/>
      <c r="D30" s="7">
        <f>SUM(D27:D29)</f>
        <v/>
      </c>
    </row>
    <row r="31">
      <c r="A31" s="2" t="inlineStr">
        <is>
          <t>Прості UC</t>
        </is>
      </c>
      <c r="B31" s="6">
        <f>COUNTIF(D10:D24,"S")</f>
        <v/>
      </c>
      <c r="C31" s="6" t="n">
        <v>5</v>
      </c>
      <c r="D31" s="7">
        <f>B31*C31</f>
        <v/>
      </c>
    </row>
    <row r="32">
      <c r="A32" s="2" t="inlineStr">
        <is>
          <t>Середні UC</t>
        </is>
      </c>
      <c r="B32" s="6">
        <f>COUNTIF(D10:D24,"A")</f>
        <v/>
      </c>
      <c r="C32" s="6" t="n">
        <v>10</v>
      </c>
      <c r="D32" s="7">
        <f>B32*C32</f>
        <v/>
      </c>
    </row>
    <row r="33">
      <c r="A33" s="2" t="inlineStr">
        <is>
          <t>Складні UC</t>
        </is>
      </c>
      <c r="B33" s="6">
        <f>COUNTIF(D10:D24,"C")</f>
        <v/>
      </c>
      <c r="C33" s="6" t="n">
        <v>15</v>
      </c>
      <c r="D33" s="7">
        <f>B33*C33</f>
        <v/>
      </c>
    </row>
    <row r="34">
      <c r="A34" s="2" t="inlineStr">
        <is>
          <t>UUCW</t>
        </is>
      </c>
      <c r="B34" s="2" t="inlineStr"/>
      <c r="C34" s="2" t="inlineStr"/>
      <c r="D34" s="7">
        <f>SUM(D31:D33)</f>
        <v/>
      </c>
    </row>
    <row r="35">
      <c r="A35" s="2" t="inlineStr">
        <is>
          <t>UUCP</t>
        </is>
      </c>
      <c r="B35" s="2" t="inlineStr"/>
      <c r="C35" s="2" t="inlineStr"/>
      <c r="D35" s="7">
        <f>D30+D34</f>
        <v/>
      </c>
    </row>
    <row r="36">
      <c r="A36" s="2" t="inlineStr">
        <is>
          <t>TCF × ECF</t>
        </is>
      </c>
      <c r="B36" s="6">
        <f>p2_tcf</f>
        <v/>
      </c>
      <c r="C36" s="6">
        <f>p2_ecf</f>
        <v/>
      </c>
      <c r="D36" s="7">
        <f>B36*C36</f>
        <v/>
      </c>
    </row>
    <row r="37">
      <c r="A37" s="2" t="inlineStr">
        <is>
          <t>UCP</t>
        </is>
      </c>
      <c r="B37" s="2" t="inlineStr"/>
      <c r="C37" s="2" t="inlineStr"/>
      <c r="D37" s="7">
        <f>D35*D36</f>
        <v/>
      </c>
    </row>
    <row r="38">
      <c r="A38" s="2" t="inlineStr">
        <is>
          <t>PF, люд.-год/UCP</t>
        </is>
      </c>
      <c r="B38" s="6">
        <f>p2_pf</f>
        <v/>
      </c>
      <c r="C38" s="2" t="inlineStr"/>
      <c r="D38" s="7">
        <f>p2_pf</f>
        <v/>
      </c>
    </row>
    <row r="39">
      <c r="A39" s="2" t="inlineStr">
        <is>
          <t>Effort, люд.-год</t>
        </is>
      </c>
      <c r="B39" s="2" t="inlineStr"/>
      <c r="C39" s="2" t="inlineStr"/>
      <c r="D39" s="7">
        <f>D37*D38</f>
        <v/>
      </c>
    </row>
    <row r="40">
      <c r="A40" s="2" t="inlineStr">
        <is>
          <t>Effort при PF −20%</t>
        </is>
      </c>
      <c r="B40" s="2" t="inlineStr"/>
      <c r="C40" s="2" t="inlineStr"/>
      <c r="D40" s="7">
        <f>D37*p2_pf*0.8</f>
        <v/>
      </c>
    </row>
    <row r="41">
      <c r="A41" s="2" t="inlineStr">
        <is>
          <t>Effort при PF +20%</t>
        </is>
      </c>
      <c r="B41" s="2" t="inlineStr"/>
      <c r="C41" s="2" t="inlineStr"/>
      <c r="D41" s="7">
        <f>D37*p2_pf*1.2</f>
        <v/>
      </c>
    </row>
    <row r="43">
      <c r="A43" s="1" t="inlineStr">
        <is>
          <t>Роль</t>
        </is>
      </c>
      <c r="B43" s="1" t="inlineStr">
        <is>
          <t>Частка в WBS</t>
        </is>
      </c>
      <c r="C43" s="1" t="inlineStr">
        <is>
          <t>Effort, год</t>
        </is>
      </c>
      <c r="D43" s="1" t="inlineStr">
        <is>
          <t>Тижнів, PF 22</t>
        </is>
      </c>
      <c r="E43" s="1" t="inlineStr">
        <is>
          <t>Тижнів, PF −20%</t>
        </is>
      </c>
      <c r="F43" s="1" t="inlineStr">
        <is>
          <t>Тижнів, PF +20%</t>
        </is>
      </c>
    </row>
    <row r="44">
      <c r="A44" s="2" t="inlineStr">
        <is>
          <t>BA/PM</t>
        </is>
      </c>
      <c r="B44" s="19">
        <f>'WBS і CPM'!E23/'WBS і CPM'!J23</f>
        <v/>
      </c>
      <c r="C44" s="8">
        <f>ucp_effort*B44</f>
        <v/>
      </c>
      <c r="D44" s="8">
        <f>C44/cap_BA</f>
        <v/>
      </c>
      <c r="E44" s="8">
        <f>D44*0.8</f>
        <v/>
      </c>
      <c r="F44" s="8">
        <f>D44*1.2</f>
        <v/>
      </c>
    </row>
    <row r="45">
      <c r="A45" s="2" t="inlineStr">
        <is>
          <t>Розробник 1</t>
        </is>
      </c>
      <c r="B45" s="19">
        <f>'WBS і CPM'!F23/'WBS і CPM'!J23</f>
        <v/>
      </c>
      <c r="C45" s="8">
        <f>ucp_effort*B45</f>
        <v/>
      </c>
      <c r="D45" s="8">
        <f>C45/cap_D1</f>
        <v/>
      </c>
      <c r="E45" s="8">
        <f>D45*0.8</f>
        <v/>
      </c>
      <c r="F45" s="8">
        <f>D45*1.2</f>
        <v/>
      </c>
    </row>
    <row r="46">
      <c r="A46" s="2" t="inlineStr">
        <is>
          <t>Розробник 2</t>
        </is>
      </c>
      <c r="B46" s="19">
        <f>'WBS і CPM'!G23/'WBS і CPM'!J23</f>
        <v/>
      </c>
      <c r="C46" s="8">
        <f>ucp_effort*B46</f>
        <v/>
      </c>
      <c r="D46" s="8">
        <f>C46/cap_D2</f>
        <v/>
      </c>
      <c r="E46" s="8">
        <f>D46*0.8</f>
        <v/>
      </c>
      <c r="F46" s="8">
        <f>D46*1.2</f>
        <v/>
      </c>
    </row>
    <row r="47">
      <c r="A47" s="2" t="inlineStr">
        <is>
          <t>QA</t>
        </is>
      </c>
      <c r="B47" s="19">
        <f>'WBS і CPM'!H23/'WBS і CPM'!J23</f>
        <v/>
      </c>
      <c r="C47" s="8">
        <f>ucp_effort*B47</f>
        <v/>
      </c>
      <c r="D47" s="8">
        <f>C47/cap_QA</f>
        <v/>
      </c>
      <c r="E47" s="8">
        <f>D47*0.8</f>
        <v/>
      </c>
      <c r="F47" s="8">
        <f>D47*1.2</f>
        <v/>
      </c>
    </row>
    <row r="48">
      <c r="A48" s="2" t="inlineStr">
        <is>
          <t>DevOps</t>
        </is>
      </c>
      <c r="B48" s="19">
        <f>'WBS і CPM'!I23/'WBS і CPM'!J23</f>
        <v/>
      </c>
      <c r="C48" s="8">
        <f>ucp_effort*B48</f>
        <v/>
      </c>
      <c r="D48" s="8">
        <f>C48/cap_OPS</f>
        <v/>
      </c>
      <c r="E48" s="8">
        <f>D48*0.8</f>
        <v/>
      </c>
      <c r="F48" s="8">
        <f>D48*1.2</f>
        <v/>
      </c>
    </row>
    <row r="49">
      <c r="A49" s="2" t="inlineStr">
        <is>
          <t>Пул розробників</t>
        </is>
      </c>
      <c r="B49" s="19">
        <f>B45+B46</f>
        <v/>
      </c>
      <c r="C49" s="8">
        <f>C45+C46</f>
        <v/>
      </c>
      <c r="D49" s="8">
        <f>C49/(cap_D1+cap_D2)</f>
        <v/>
      </c>
      <c r="E49" s="8">
        <f>D49*0.8</f>
        <v/>
      </c>
      <c r="F49" s="8">
        <f>D49*1.2</f>
        <v/>
      </c>
    </row>
    <row r="50">
      <c r="A50" s="2" t="inlineStr">
        <is>
          <t>Механічно: effort / 105</t>
        </is>
      </c>
      <c r="B50" s="20" t="inlineStr"/>
      <c r="C50" s="8">
        <f>ucp_effort</f>
        <v/>
      </c>
      <c r="D50" s="8">
        <f>ucp_effort/team_week</f>
        <v/>
      </c>
      <c r="E50" s="8">
        <f>D50*0.8</f>
        <v/>
      </c>
      <c r="F50" s="8">
        <f>D50*1.2</f>
        <v/>
      </c>
    </row>
    <row r="51">
      <c r="A51" s="2" t="inlineStr">
        <is>
          <t>Вузьке місце, тижнів</t>
        </is>
      </c>
      <c r="B51" s="20" t="inlineStr"/>
      <c r="C51" s="21" t="inlineStr"/>
      <c r="D51" s="8">
        <f>MAX(D49,D44,D47,D48)</f>
        <v/>
      </c>
      <c r="E51" s="8">
        <f>D51*0.8</f>
        <v/>
      </c>
      <c r="F51" s="8">
        <f>D51*1.2</f>
        <v/>
      </c>
    </row>
    <row r="52">
      <c r="A52" s="2" t="inlineStr">
        <is>
          <t>Строк з урахуванням завантаження</t>
        </is>
      </c>
      <c r="B52" s="20" t="inlineStr"/>
      <c r="C52" s="21" t="inlineStr"/>
      <c r="D52" s="8">
        <f>D51/p2_util</f>
        <v/>
      </c>
      <c r="E52" s="8">
        <f>D52*0.8</f>
        <v/>
      </c>
      <c r="F52" s="8">
        <f>D52*1.2</f>
        <v/>
      </c>
    </row>
  </sheetData>
  <pageMargins left="0.3" right="0.3" top="0.4" bottom="0.4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4" customWidth="1" min="3" max="3"/>
    <col width="16" customWidth="1" min="4" max="4"/>
    <col width="18" customWidth="1" min="5" max="5"/>
    <col width="14" customWidth="1" min="6" max="6"/>
  </cols>
  <sheetData>
    <row r="1">
      <c r="A1" s="1" t="inlineStr">
        <is>
          <t>Роль</t>
        </is>
      </c>
      <c r="B1" s="1" t="inlineStr">
        <is>
          <t>FTE</t>
        </is>
      </c>
      <c r="C1" s="1" t="inlineStr">
        <is>
          <t>Год/тиждень</t>
        </is>
      </c>
      <c r="D1" s="1" t="inlineStr">
        <is>
          <t>Год у WBS (E)</t>
        </is>
      </c>
      <c r="E1" s="1" t="inlineStr">
        <is>
          <t>Ємність за baseline, год</t>
        </is>
      </c>
      <c r="F1" s="1" t="inlineStr">
        <is>
          <t>Завантаження</t>
        </is>
      </c>
    </row>
    <row r="2">
      <c r="A2" s="2" t="inlineStr">
        <is>
          <t>BA/PM</t>
        </is>
      </c>
      <c r="B2" s="6" t="n">
        <v>0.5</v>
      </c>
      <c r="C2" s="8">
        <f>cap_BA</f>
        <v/>
      </c>
      <c r="D2" s="8">
        <f>SUMPRODUCT('WBS і CPM'!E2:E21,'WBS і CPM'!N2:N21/'WBS і CPM'!L2:L21)</f>
        <v/>
      </c>
      <c r="E2" s="8">
        <f>C2*bl_days/p2_days_week</f>
        <v/>
      </c>
      <c r="F2" s="19">
        <f>D2/E2</f>
        <v/>
      </c>
    </row>
    <row r="3">
      <c r="A3" s="2" t="inlineStr">
        <is>
          <t>Розробник 1</t>
        </is>
      </c>
      <c r="B3" s="6" t="n">
        <v>1</v>
      </c>
      <c r="C3" s="8">
        <f>cap_D1</f>
        <v/>
      </c>
      <c r="D3" s="8">
        <f>SUMPRODUCT('WBS і CPM'!F2:F21,'WBS і CPM'!N2:N21/'WBS і CPM'!L2:L21)</f>
        <v/>
      </c>
      <c r="E3" s="8">
        <f>C3*bl_days/p2_days_week</f>
        <v/>
      </c>
      <c r="F3" s="19">
        <f>D3/E3</f>
        <v/>
      </c>
    </row>
    <row r="4">
      <c r="A4" s="2" t="inlineStr">
        <is>
          <t>Розробник 2</t>
        </is>
      </c>
      <c r="B4" s="6" t="n">
        <v>1</v>
      </c>
      <c r="C4" s="8">
        <f>cap_D2</f>
        <v/>
      </c>
      <c r="D4" s="8">
        <f>SUMPRODUCT('WBS і CPM'!G2:G21,'WBS і CPM'!N2:N21/'WBS і CPM'!L2:L21)</f>
        <v/>
      </c>
      <c r="E4" s="8">
        <f>C4*bl_days/p2_days_week</f>
        <v/>
      </c>
      <c r="F4" s="19">
        <f>D4/E4</f>
        <v/>
      </c>
    </row>
    <row r="5">
      <c r="A5" s="2" t="inlineStr">
        <is>
          <t>QA</t>
        </is>
      </c>
      <c r="B5" s="6" t="n">
        <v>0.75</v>
      </c>
      <c r="C5" s="8">
        <f>cap_QA</f>
        <v/>
      </c>
      <c r="D5" s="8">
        <f>SUMPRODUCT('WBS і CPM'!H2:H21,'WBS і CPM'!N2:N21/'WBS і CPM'!L2:L21)</f>
        <v/>
      </c>
      <c r="E5" s="8">
        <f>C5*bl_days/p2_days_week</f>
        <v/>
      </c>
      <c r="F5" s="19">
        <f>D5/E5</f>
        <v/>
      </c>
    </row>
    <row r="6">
      <c r="A6" s="2" t="inlineStr">
        <is>
          <t>DevOps</t>
        </is>
      </c>
      <c r="B6" s="6" t="n">
        <v>0.5</v>
      </c>
      <c r="C6" s="8">
        <f>cap_OPS</f>
        <v/>
      </c>
      <c r="D6" s="8">
        <f>SUMPRODUCT('WBS і CPM'!I2:I21,'WBS і CPM'!N2:N21/'WBS і CPM'!L2:L21)</f>
        <v/>
      </c>
      <c r="E6" s="8">
        <f>C6*bl_days/p2_days_week</f>
        <v/>
      </c>
      <c r="F6" s="19">
        <f>D6/E6</f>
        <v/>
      </c>
    </row>
    <row r="7">
      <c r="A7" s="2" t="inlineStr">
        <is>
          <t>Команда</t>
        </is>
      </c>
      <c r="B7" s="6">
        <f>SUM(B2:B6)</f>
        <v/>
      </c>
      <c r="C7" s="8">
        <f>SUM(C2:C6)</f>
        <v/>
      </c>
      <c r="D7" s="8">
        <f>SUM(D2:D6)</f>
        <v/>
      </c>
      <c r="E7" s="8">
        <f>SUM(E2:E6)</f>
        <v/>
      </c>
      <c r="F7" s="19">
        <f>D7/E7</f>
        <v/>
      </c>
    </row>
    <row r="9">
      <c r="A9" s="1" t="inlineStr">
        <is>
          <t>Віха</t>
        </is>
      </c>
      <c r="B9" s="1" t="inlineStr">
        <is>
          <t>День (E)</t>
        </is>
      </c>
      <c r="C9" s="1" t="inlineStr">
        <is>
          <t>Дата</t>
        </is>
      </c>
    </row>
    <row r="10">
      <c r="A10" s="2" t="inlineStr">
        <is>
          <t>Scope freeze</t>
        </is>
      </c>
      <c r="B10" s="7">
        <f>MAX('WBS і CPM'!S2)</f>
        <v/>
      </c>
      <c r="C10" s="18">
        <f>WORKDAY(p2_start,ROUNDUP(B10,0)-1,p2_holidays)</f>
        <v/>
      </c>
    </row>
    <row r="11">
      <c r="A11" s="2" t="inlineStr">
        <is>
          <t>Architecture spike</t>
        </is>
      </c>
      <c r="B11" s="7">
        <f>MAX('WBS і CPM'!S3)</f>
        <v/>
      </c>
      <c r="C11" s="18">
        <f>WORKDAY(p2_start,ROUNDUP(B11,0)-1,p2_holidays)</f>
        <v/>
      </c>
    </row>
    <row r="12">
      <c r="A12" s="2" t="inlineStr">
        <is>
          <t>Feature complete</t>
        </is>
      </c>
      <c r="B12" s="7">
        <f>MAX('WBS і CPM'!S5,'WBS і CPM'!S6,'WBS і CPM'!S7,'WBS і CPM'!S8,'WBS і CPM'!S9,'WBS і CPM'!S10,'WBS і CPM'!S11,'WBS і CPM'!S12,'WBS і CPM'!S13,'WBS і CPM'!S14,'WBS і CPM'!S15)</f>
        <v/>
      </c>
      <c r="C12" s="18">
        <f>WORKDAY(p2_start,ROUNDUP(B12,0)-1,p2_holidays)</f>
        <v/>
      </c>
    </row>
    <row r="13">
      <c r="A13" s="2" t="inlineStr">
        <is>
          <t>Stabilization</t>
        </is>
      </c>
      <c r="B13" s="7">
        <f>MAX('WBS і CPM'!S18)</f>
        <v/>
      </c>
      <c r="C13" s="18">
        <f>WORKDAY(p2_start,ROUNDUP(B13,0)-1,p2_holidays)</f>
        <v/>
      </c>
    </row>
    <row r="14">
      <c r="A14" s="2" t="inlineStr">
        <is>
          <t>Release readiness</t>
        </is>
      </c>
      <c r="B14" s="7">
        <f>MAX('WBS і CPM'!S21)</f>
        <v/>
      </c>
      <c r="C14" s="18">
        <f>WORKDAY(p2_start,ROUNDUP(B14,0)-1,p2_holidays)</f>
        <v/>
      </c>
    </row>
    <row r="15">
      <c r="A15" s="2" t="inlineStr">
        <is>
          <t>Baseline (P80, з contingency)</t>
        </is>
      </c>
      <c r="B15" s="6">
        <f>bl_days</f>
        <v/>
      </c>
      <c r="C15" s="18">
        <f>WORKDAY(p2_start,bl_days-1,p2_holidays)</f>
        <v/>
      </c>
    </row>
    <row r="16">
      <c r="A16" s="2" t="inlineStr">
        <is>
          <t>Межа з management reserve</t>
        </is>
      </c>
      <c r="B16" s="6">
        <f>bl_days+p2_mr</f>
        <v/>
      </c>
      <c r="C16" s="18">
        <f>WORKDAY(p2_start,bl_days+p2_mr-1,p2_holidays)</f>
        <v/>
      </c>
    </row>
  </sheetData>
  <pageMargins left="0.3" right="0.3" top="0.4" bottom="0.4" header="0.5" footer="0.5"/>
  <pageSetup orientation="portrait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Метод</t>
        </is>
      </c>
      <c r="B1" s="1" t="inlineStr">
        <is>
          <t>Розмір</t>
        </is>
      </c>
      <c r="C1" s="1" t="inlineStr">
        <is>
          <t>Effort, год</t>
        </is>
      </c>
      <c r="D1" s="1" t="inlineStr">
        <is>
          <t>Тижнів: низ</t>
        </is>
      </c>
      <c r="E1" s="1" t="inlineStr">
        <is>
          <t>Тижнів: центр</t>
        </is>
      </c>
      <c r="F1" s="1" t="inlineStr">
        <is>
          <t>Тижнів: верх</t>
        </is>
      </c>
    </row>
    <row r="2">
      <c r="A2" s="2" t="inlineStr">
        <is>
          <t>PERT/WBS</t>
        </is>
      </c>
      <c r="B2" s="6">
        <f>COUNTA('WBS і CPM'!A2:A21)&amp;" пакетів"</f>
        <v/>
      </c>
      <c r="C2" s="8">
        <f>'WBS і CPM'!Q23</f>
        <v/>
      </c>
      <c r="D2" s="8">
        <f>SUMIF('WBS і CPM'!W2:W21,"так",'WBS і CPM'!K2:K21)/p2_days_week</f>
        <v/>
      </c>
      <c r="E2" s="8">
        <f>bl_p50/p2_days_week</f>
        <v/>
      </c>
      <c r="F2" s="8">
        <f>bl_days/p2_days_week</f>
        <v/>
      </c>
    </row>
    <row r="3">
      <c r="A3" s="2" t="inlineStr">
        <is>
          <t>SP/velocity</t>
        </is>
      </c>
      <c r="B3" s="6">
        <f>'Backlog і velocity'!C14&amp;" SP"</f>
        <v/>
      </c>
      <c r="C3" s="21" t="inlineStr">
        <is>
          <t>не переводиться</t>
        </is>
      </c>
      <c r="D3" s="8">
        <f>'Backlog і velocity'!E30</f>
        <v/>
      </c>
      <c r="E3" s="8">
        <f>'Backlog і velocity'!E31</f>
        <v/>
      </c>
      <c r="F3" s="8">
        <f>'Backlog і velocity'!E32</f>
        <v/>
      </c>
    </row>
    <row r="4">
      <c r="A4" s="2" t="inlineStr">
        <is>
          <t>UCP/parametric</t>
        </is>
      </c>
      <c r="B4" s="6">
        <f>TEXT(ucp_val,"0.00")&amp;" UCP"</f>
        <v/>
      </c>
      <c r="C4" s="8">
        <f>ucp_effort</f>
        <v/>
      </c>
      <c r="D4" s="8">
        <f>UCP!E52</f>
        <v/>
      </c>
      <c r="E4" s="8">
        <f>ucp_weeks</f>
        <v/>
      </c>
      <c r="F4" s="8">
        <f>UCP!F52</f>
        <v/>
      </c>
    </row>
  </sheetData>
  <pageMargins left="0.3" right="0.3" top="0.4" bottom="0.4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2026-10-05T16:27:13Z</dcterms:created>
  <dcterms:modified xmlns:dcterms="http://purl.org/dc/terms/" xmlns:xsi="http://www.w3.org/2001/XMLSchema-instance" xsi:type="dcterms:W3CDTF">2026-10-05T16:27:13Z</dcterms:modified>
</cp:coreProperties>
</file>