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араметри ЛР5" sheetId="1" state="visible" r:id="rId3"/>
    <sheet name="Журнал припущень ЛР5" sheetId="2" state="visible" r:id="rId4"/>
    <sheet name="Воронка" sheetId="3" state="visible" r:id="rId5"/>
    <sheet name="Unit economics" sheetId="4" state="visible" r:id="rId6"/>
    <sheet name="Break-even" sheetId="5" state="visible" r:id="rId7"/>
    <sheet name="Прогноз 12 міс." sheetId="6" state="visible" r:id="rId8"/>
    <sheet name="Чутливість" sheetId="7" state="visible" r:id="rId9"/>
  </sheets>
  <definedNames>
    <definedName function="false" hidden="false" name="x5_act" vbProcedure="false">'Параметри ЛР5'!$C$17</definedName>
    <definedName function="false" hidden="false" name="x5_arpa" vbProcedure="false">'Unit economics'!$D$3</definedName>
    <definedName function="false" hidden="false" name="x5_arpu_b" vbProcedure="false">'Unit economics'!$D$4</definedName>
    <definedName function="false" hidden="false" name="x5_bad" vbProcedure="false">'Параметри ЛР5'!$C$23</definedName>
    <definedName function="false" hidden="false" name="x5_be_acq" vbProcedure="false">'Break-even'!$D$4</definedName>
    <definedName function="false" hidden="false" name="x5_be_cm" vbProcedure="false">'Break-even'!$D$2</definedName>
    <definedName function="false" hidden="false" name="x5_be_fixed" vbProcedure="false">'Break-even'!$D$3</definedName>
    <definedName function="false" hidden="false" name="x5_be_mos" vbProcedure="false">'Break-even'!$D$13</definedName>
    <definedName function="false" hidden="false" name="x5_be_mos_o" vbProcedure="false">'Break-even'!$D$14</definedName>
    <definedName function="false" hidden="false" name="x5_be_o" vbProcedure="false">'Break-even'!$D$7</definedName>
    <definedName function="false" hidden="false" name="x5_be_o_b" vbProcedure="false">'Break-even'!$D$12</definedName>
    <definedName function="false" hidden="false" name="x5_be_o_int" vbProcedure="false">'Break-even'!$D$8</definedName>
    <definedName function="false" hidden="false" name="x5_be_o_rev" vbProcedure="false">'Break-even'!$D$10</definedName>
    <definedName function="false" hidden="false" name="x5_be_p" vbProcedure="false">'Break-even'!$D$5</definedName>
    <definedName function="false" hidden="false" name="x5_be_p_b" vbProcedure="false">'Break-even'!$D$11</definedName>
    <definedName function="false" hidden="false" name="x5_be_p_int" vbProcedure="false">'Break-even'!$D$6</definedName>
    <definedName function="false" hidden="false" name="x5_be_p_rev" vbProcedure="false">'Break-even'!$D$9</definedName>
    <definedName function="false" hidden="false" name="x5_be_steady" vbProcedure="false">'Break-even'!$D$15</definedName>
    <definedName function="false" hidden="false" name="x5_cac" vbProcedure="false">'Unit economics'!$D$2</definedName>
    <definedName function="false" hidden="false" name="x5_cap" vbProcedure="false">'Параметри ЛР5'!$C$25</definedName>
    <definedName function="false" hidden="false" name="x5_check" vbProcedure="false">'Параметри ЛР5'!$C$20</definedName>
    <definedName function="false" hidden="false" name="x5_churn" vbProcedure="false">'Параметри ЛР5'!$C$4</definedName>
    <definedName function="false" hidden="false" name="x5_clients" vbProcedure="false">'Параметри ЛР5'!$C$11</definedName>
    <definedName function="false" hidden="false" name="x5_cm" vbProcedure="false">'Unit economics'!$D$9</definedName>
    <definedName function="false" hidden="false" name="x5_cmr" vbProcedure="false">'Unit economics'!$D$10</definedName>
    <definedName function="false" hidden="false" name="x5_cogs" vbProcedure="false">'Параметри ЛР5'!$C$10</definedName>
    <definedName function="false" hidden="false" name="x5_cogs_pa" vbProcedure="false">'Unit economics'!$D$5</definedName>
    <definedName function="false" hidden="false" name="x5_cogs_unit" vbProcedure="false">'Параметри ЛР5'!$C$13</definedName>
    <definedName function="false" hidden="false" name="x5_contr" vbProcedure="false">'Unit economics'!$D$13</definedName>
    <definedName function="false" hidden="false" name="x5_delta" vbProcedure="false">'Параметри ЛР5'!$C$27</definedName>
    <definedName function="false" hidden="false" name="x5_disc" vbProcedure="false">'Параметри ЛР5'!$C$15</definedName>
    <definedName function="false" hidden="false" name="x5_dm" vbProcedure="false">'Параметри ЛР5'!$C$30</definedName>
    <definedName function="false" hidden="false" name="x5_episode" vbProcedure="false">'Параметри ЛР5'!$C$14</definedName>
    <definedName function="false" hidden="false" name="x5_events" vbProcedure="false">'Параметри ЛР5'!$C$21</definedName>
    <definedName function="false" hidden="false" name="x5_exp" vbProcedure="false">'Unit economics'!$D$14</definedName>
    <definedName function="false" hidden="false" name="x5_fixed" vbProcedure="false">'Параметри ЛР5'!$C$5</definedName>
    <definedName function="false" hidden="false" name="x5_gm" vbProcedure="false">'Unit economics'!$D$7</definedName>
    <definedName function="false" hidden="false" name="x5_gp" vbProcedure="false">'Unit economics'!$D$6</definedName>
    <definedName function="false" hidden="false" name="x5_grc" vbProcedure="false">'Unit economics'!$D$15</definedName>
    <definedName function="false" hidden="false" name="x5_h" vbProcedure="false">'Параметри ЛР5'!$C$26</definedName>
    <definedName function="false" hidden="false" name="x5_kept" vbProcedure="false">'Параметри ЛР5'!$C$18</definedName>
    <definedName function="false" hidden="false" name="x5_leads" vbProcedure="false">'Параметри ЛР5'!$C$16</definedName>
    <definedName function="false" hidden="false" name="x5_life" vbProcedure="false">'Unit economics'!$D$20</definedName>
    <definedName function="false" hidden="false" name="x5_lost" vbProcedure="false">'Unit economics'!$D$12</definedName>
    <definedName function="false" hidden="false" name="x5_lost_n" vbProcedure="false">'Unit economics'!$D$11</definedName>
    <definedName function="false" hidden="false" name="x5_ltv" vbProcedure="false">'Unit economics'!$D$17</definedName>
    <definedName function="false" hidden="false" name="x5_ltv_cac" vbProcedure="false">'Unit economics'!$D$18</definedName>
    <definedName function="false" hidden="false" name="x5_ltv_cap" vbProcedure="false">'Unit economics'!$D$24</definedName>
    <definedName function="false" hidden="false" name="x5_ltv_cm" vbProcedure="false">'Unit economics'!$D$21</definedName>
    <definedName function="false" hidden="false" name="x5_ltv_disc" vbProcedure="false">'Unit economics'!$D$23</definedName>
    <definedName function="false" hidden="false" name="x5_ltv_rev" vbProcedure="false">'Unit economics'!$D$22</definedName>
    <definedName function="false" hidden="false" name="x5_new" vbProcedure="false">'Параметри ЛР5'!$C$3</definedName>
    <definedName function="false" hidden="false" name="x5_nrc" vbProcedure="false">'Unit economics'!$D$16</definedName>
    <definedName function="false" hidden="false" name="x5_ov" vbProcedure="false">'Unit economics'!$D$8</definedName>
    <definedName function="false" hidden="false" name="x5_over" vbProcedure="false">'Параметри ЛР5'!$C$9</definedName>
    <definedName function="false" hidden="false" name="x5_ovshare" vbProcedure="false">'Параметри ЛР5'!$C$29</definedName>
    <definedName function="false" hidden="false" name="x5_partner" vbProcedure="false">'Параметри ЛР5'!$C$24</definedName>
    <definedName function="false" hidden="false" name="x5_pay" vbProcedure="false">'Параметри ЛР5'!$C$22</definedName>
    <definedName function="false" hidden="false" name="x5_payback" vbProcedure="false">'Unit economics'!$D$19</definedName>
    <definedName function="false" hidden="false" name="x5_payback_cm" vbProcedure="false">'Unit economics'!$D$25</definedName>
    <definedName function="false" hidden="false" name="x5_pilot_m" vbProcedure="false">'Параметри ЛР5'!$C$19</definedName>
    <definedName function="false" hidden="false" name="x5_rev" vbProcedure="false">'Параметри ЛР5'!$C$7</definedName>
    <definedName function="false" hidden="false" name="x5_rev_bu" vbProcedure="false">'Параметри ЛР5'!$C$8</definedName>
    <definedName function="false" hidden="false" name="x5_scale" vbProcedure="false">'Параметри ЛР5'!$C$6</definedName>
    <definedName function="false" hidden="false" name="x5_spend" vbProcedure="false">'Параметри ЛР5'!$C$2</definedName>
    <definedName function="false" hidden="false" name="x5_usage" vbProcedure="false">'Параметри ЛР5'!$C$12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<sst xmlns="http://schemas.openxmlformats.org/spreadsheetml/2006/main" count="470" uniqueCount="367">
  <si>
    <t xml:space="preserve">Ім'я</t>
  </si>
  <si>
    <t xml:space="preserve">Показник</t>
  </si>
  <si>
    <t xml:space="preserve">Значення</t>
  </si>
  <si>
    <t xml:space="preserve">Одиниця</t>
  </si>
  <si>
    <t xml:space="preserve">Тип</t>
  </si>
  <si>
    <t xml:space="preserve">Підстава</t>
  </si>
  <si>
    <t xml:space="preserve">x5_spend</t>
  </si>
  <si>
    <t xml:space="preserve">Acquisition spend за місяць</t>
  </si>
  <si>
    <t xml:space="preserve">EUR/міс.</t>
  </si>
  <si>
    <t xml:space="preserve">Д</t>
  </si>
  <si>
    <t xml:space="preserve">варіант 14, ЛР № 5</t>
  </si>
  <si>
    <t xml:space="preserve">x5_new</t>
  </si>
  <si>
    <t xml:space="preserve">Нові платні клієнти за місяць</t>
  </si>
  <si>
    <t xml:space="preserve">клієнтів/міс.</t>
  </si>
  <si>
    <t xml:space="preserve">x5_churn</t>
  </si>
  <si>
    <t xml:space="preserve">Monthly logo churn</t>
  </si>
  <si>
    <t xml:space="preserve">частка</t>
  </si>
  <si>
    <t xml:space="preserve">x5_fixed</t>
  </si>
  <si>
    <t xml:space="preserve">Fixed product OPEX за місяць</t>
  </si>
  <si>
    <t xml:space="preserve">x5_scale</t>
  </si>
  <si>
    <t xml:space="preserve">Масштаб Y3, будівель</t>
  </si>
  <si>
    <t xml:space="preserve">будівель/міс.</t>
  </si>
  <si>
    <t xml:space="preserve">варіант 14, ЛР № 4 і № 5</t>
  </si>
  <si>
    <t xml:space="preserve">x5_rev</t>
  </si>
  <si>
    <t xml:space="preserve">Revenue базового місяця Y3</t>
  </si>
  <si>
    <t xml:space="preserve">Р</t>
  </si>
  <si>
    <t xml:space="preserve">ЛР № 4, сценарій 100%: сума двох рядків нижче</t>
  </si>
  <si>
    <t xml:space="preserve">x5_rev_bu</t>
  </si>
  <si>
    <t xml:space="preserve">з неї база і будівлі (без overage)</t>
  </si>
  <si>
    <t xml:space="preserve">ЛР № 4: 2 250 + 8 850</t>
  </si>
  <si>
    <t xml:space="preserve">x5_over</t>
  </si>
  <si>
    <t xml:space="preserve">з неї overage</t>
  </si>
  <si>
    <t xml:space="preserve">ЛР № 4: 8,5 буд. × 55</t>
  </si>
  <si>
    <t xml:space="preserve">x5_cogs</t>
  </si>
  <si>
    <t xml:space="preserve">COGS базового місяця Y3</t>
  </si>
  <si>
    <t xml:space="preserve">ЛР № 4, з урахуванням A3</t>
  </si>
  <si>
    <t xml:space="preserve">x5_clients</t>
  </si>
  <si>
    <t xml:space="preserve">Активні клієнти (акаунти) Y3</t>
  </si>
  <si>
    <t xml:space="preserve">клієнтів</t>
  </si>
  <si>
    <t xml:space="preserve">ЛР № 4: 85 / 1,7</t>
  </si>
  <si>
    <t xml:space="preserve">x5_usage</t>
  </si>
  <si>
    <t xml:space="preserve">Будівель на клієнта</t>
  </si>
  <si>
    <t xml:space="preserve">буд.</t>
  </si>
  <si>
    <t xml:space="preserve">ЛР № 4, A2</t>
  </si>
  <si>
    <t xml:space="preserve">x5_cogs_unit</t>
  </si>
  <si>
    <t xml:space="preserve">COGS будівлі</t>
  </si>
  <si>
    <t xml:space="preserve">EUR/буд./міс.</t>
  </si>
  <si>
    <t xml:space="preserve">ЛР № 1, ЛР № 4</t>
  </si>
  <si>
    <t xml:space="preserve">x5_episode</t>
  </si>
  <si>
    <t xml:space="preserve">Епізод нестабільного обліку</t>
  </si>
  <si>
    <t xml:space="preserve">міс.</t>
  </si>
  <si>
    <t xml:space="preserve">П</t>
  </si>
  <si>
    <t xml:space="preserve">A9 ЛР № 4</t>
  </si>
  <si>
    <t xml:space="preserve">x5_disc</t>
  </si>
  <si>
    <t xml:space="preserve">Річна ставка дисконтування</t>
  </si>
  <si>
    <t xml:space="preserve">ЛР № 3</t>
  </si>
  <si>
    <t xml:space="preserve">x5_leads</t>
  </si>
  <si>
    <t xml:space="preserve">Кваліфіковані ліди за місяць</t>
  </si>
  <si>
    <t xml:space="preserve">лідів/міс.</t>
  </si>
  <si>
    <t xml:space="preserve">B1</t>
  </si>
  <si>
    <t xml:space="preserve">x5_act</t>
  </si>
  <si>
    <t xml:space="preserve">Activation rate: лід у пілот</t>
  </si>
  <si>
    <t xml:space="preserve">B2, A10 ЛР № 1</t>
  </si>
  <si>
    <t xml:space="preserve">x5_kept</t>
  </si>
  <si>
    <t xml:space="preserve">Пілоти, активні в 3-му місяці</t>
  </si>
  <si>
    <t xml:space="preserve">пілотів</t>
  </si>
  <si>
    <t xml:space="preserve">B4</t>
  </si>
  <si>
    <t xml:space="preserve">x5_pilot_m</t>
  </si>
  <si>
    <t xml:space="preserve">Тривалість пілоту</t>
  </si>
  <si>
    <t xml:space="preserve">A10 ЛР № 1</t>
  </si>
  <si>
    <t xml:space="preserve">x5_check</t>
  </si>
  <si>
    <t xml:space="preserve">Місяць відсіву пілотів</t>
  </si>
  <si>
    <t xml:space="preserve">x5_events</t>
  </si>
  <si>
    <t xml:space="preserve">Події і виїзні демонстрації</t>
  </si>
  <si>
    <t xml:space="preserve">B5</t>
  </si>
  <si>
    <t xml:space="preserve">x5_pay</t>
  </si>
  <si>
    <t xml:space="preserve">Платежі і банк, частка Revenue</t>
  </si>
  <si>
    <t xml:space="preserve">B3</t>
  </si>
  <si>
    <t xml:space="preserve">x5_bad</t>
  </si>
  <si>
    <t xml:space="preserve">Резерв боргів, частка Revenue</t>
  </si>
  <si>
    <t xml:space="preserve">x5_partner</t>
  </si>
  <si>
    <t xml:space="preserve">Партнерам, частка Revenue</t>
  </si>
  <si>
    <t xml:space="preserve">B3: 10% × 35%</t>
  </si>
  <si>
    <t xml:space="preserve">x5_cap</t>
  </si>
  <si>
    <t xml:space="preserve">Горизонт обмеженого LTV</t>
  </si>
  <si>
    <t xml:space="preserve">3 роки, як TCO3 ЛР № 3</t>
  </si>
  <si>
    <t xml:space="preserve">x5_h</t>
  </si>
  <si>
    <t xml:space="preserve">Горизонт прогнозу</t>
  </si>
  <si>
    <t xml:space="preserve">методичка, 3.3</t>
  </si>
  <si>
    <t xml:space="preserve">x5_delta</t>
  </si>
  <si>
    <t xml:space="preserve">Крок чутливості</t>
  </si>
  <si>
    <t xml:space="preserve">методичка, крок 5</t>
  </si>
  <si>
    <t xml:space="preserve">x5_ovshare</t>
  </si>
  <si>
    <t xml:space="preserve">Змінні витрати поза COGS, частка</t>
  </si>
  <si>
    <t xml:space="preserve">x5_dm</t>
  </si>
  <si>
    <t xml:space="preserve">Місячна ставка дисконтування</t>
  </si>
  <si>
    <t xml:space="preserve">(1 + 0,10)^(1/12) − 1</t>
  </si>
  <si>
    <t xml:space="preserve">ID</t>
  </si>
  <si>
    <t xml:space="preserve">Припущення</t>
  </si>
  <si>
    <t xml:space="preserve">Що змінює</t>
  </si>
  <si>
    <t xml:space="preserve">Обсяг верхнього рівня воронки</t>
  </si>
  <si>
    <t xml:space="preserve">70 кваліфікованих лідів на місяць (дзвінок з розрахунком економії відбувся)</t>
  </si>
  <si>
    <t xml:space="preserve">П: обов'язкове власне припущення; CPL 3 400 / 70 = 48,57 EUR</t>
  </si>
  <si>
    <t xml:space="preserve">воронка, CPL</t>
  </si>
  <si>
    <t xml:space="preserve">B2</t>
  </si>
  <si>
    <t xml:space="preserve">Activation rate</t>
  </si>
  <si>
    <t xml:space="preserve">30% лідів запускають безкоштовний пілот 3 міс. на 1 будівлі</t>
  </si>
  <si>
    <t xml:space="preserve">П: обов'язкове власне припущення; поріг A10 ЛР № 1</t>
  </si>
  <si>
    <t xml:space="preserve">воронка</t>
  </si>
  <si>
    <t xml:space="preserve">Частка змінних витрат поза COGS</t>
  </si>
  <si>
    <t xml:space="preserve">6% Revenue: платежі 1,5%, резерв боргів 1,0%, партнери 3,5%</t>
  </si>
  <si>
    <t xml:space="preserve">П: обов'язкове власне припущення</t>
  </si>
  <si>
    <t xml:space="preserve">contribution margin, BE</t>
  </si>
  <si>
    <t xml:space="preserve">Утримання пілоту</t>
  </si>
  <si>
    <t xml:space="preserve">14 з 21 пілоту активні в 3-му місяці; відсів після першого місячного звіту</t>
  </si>
  <si>
    <t xml:space="preserve">П: 2/3 пілотів</t>
  </si>
  <si>
    <t xml:space="preserve">воронка, витрати пілотів</t>
  </si>
  <si>
    <t xml:space="preserve">Склад acquisition spend</t>
  </si>
  <si>
    <t xml:space="preserve">пілоти 49 буд.-міс. × 16 = 784; події і демо 1 200; цифровий маркетинг 1 416 EUR</t>
  </si>
  <si>
    <t xml:space="preserve">П: розподіл суми варіанта</t>
  </si>
  <si>
    <t xml:space="preserve">CAC</t>
  </si>
  <si>
    <t xml:space="preserve">B6</t>
  </si>
  <si>
    <t xml:space="preserve">Визначення клієнта</t>
  </si>
  <si>
    <t xml:space="preserve">активний: акаунт з оплаченим рахунком і хоча б 1 активною будівлею; новий: перший оплачений рахунок у місяці</t>
  </si>
  <si>
    <t xml:space="preserve">П: одна одиниця для CAC, ARPA, churn, BE</t>
  </si>
  <si>
    <t xml:space="preserve">усі метрики</t>
  </si>
  <si>
    <t xml:space="preserve">B7</t>
  </si>
  <si>
    <t xml:space="preserve">Revenue churn</t>
  </si>
  <si>
    <t xml:space="preserve">клієнти, що пішли, мають середній ARPA; overage 1/12 епізодів A9 завершується щомісяця і стільки ж починається</t>
  </si>
  <si>
    <t xml:space="preserve">П: стаціонарний стан ЛР № 4</t>
  </si>
  <si>
    <t xml:space="preserve">gross і net revenue churn</t>
  </si>
  <si>
    <t xml:space="preserve">B8</t>
  </si>
  <si>
    <t xml:space="preserve">Старт прогнозу</t>
  </si>
  <si>
    <t xml:space="preserve">M1 = вересень 2027: пілоти з червня 2027 після релізу 06.05.2027, перші оплати через 3 міс.; база на початку 0</t>
  </si>
  <si>
    <t xml:space="preserve">місяць BE</t>
  </si>
  <si>
    <t xml:space="preserve">B9</t>
  </si>
  <si>
    <t xml:space="preserve">Сталі параметри прогнозу</t>
  </si>
  <si>
    <t xml:space="preserve">ARPA, COGS на акаунт і mix базового місяця Y3 ЛР № 4; 7 нових і churn 3% щомісяця</t>
  </si>
  <si>
    <t xml:space="preserve">П: спрощення методички</t>
  </si>
  <si>
    <t xml:space="preserve">прогноз 12 міс.</t>
  </si>
  <si>
    <t xml:space="preserve">B10</t>
  </si>
  <si>
    <t xml:space="preserve">Acquisition spend регулярний</t>
  </si>
  <si>
    <t xml:space="preserve">3 400 EUR щомісяця незалежно від бази клієнтів</t>
  </si>
  <si>
    <t xml:space="preserve">Д: варіант; модель методички 3.3</t>
  </si>
  <si>
    <t xml:space="preserve">operating BE</t>
  </si>
  <si>
    <t xml:space="preserve">Етап</t>
  </si>
  <si>
    <t xml:space="preserve">Подія</t>
  </si>
  <si>
    <t xml:space="preserve">Кількість за місяць</t>
  </si>
  <si>
    <t xml:space="preserve">Конверсія</t>
  </si>
  <si>
    <t xml:space="preserve">Джерело / припущення</t>
  </si>
  <si>
    <t xml:space="preserve">Acquisition</t>
  </si>
  <si>
    <t xml:space="preserve">кваліфікований лід: дзвінок з розрахунком економії відбувся</t>
  </si>
  <si>
    <t xml:space="preserve">B1 (П)</t>
  </si>
  <si>
    <t xml:space="preserve">Activation</t>
  </si>
  <si>
    <t xml:space="preserve">пілот запущено: шлюз передав першу добу 15-хв даних</t>
  </si>
  <si>
    <t xml:space="preserve">B2 (П), A10 ЛР № 1</t>
  </si>
  <si>
    <t xml:space="preserve">Retention</t>
  </si>
  <si>
    <t xml:space="preserve">пілот активний у 3-му місяці: реакція на алерт підтверджена</t>
  </si>
  <si>
    <t xml:space="preserve">B4 (П)</t>
  </si>
  <si>
    <t xml:space="preserve">Revenue</t>
  </si>
  <si>
    <t xml:space="preserve">перший оплачений рахунок (новий платний клієнт)</t>
  </si>
  <si>
    <t xml:space="preserve">Д: варіант 14</t>
  </si>
  <si>
    <t xml:space="preserve">Формула</t>
  </si>
  <si>
    <t xml:space="preserve">Конверсія лід у платного клієнта</t>
  </si>
  <si>
    <t xml:space="preserve">Revenue / Acquisition</t>
  </si>
  <si>
    <t xml:space="preserve">Конверсія пілот у платного клієнта</t>
  </si>
  <si>
    <t xml:space="preserve">Revenue / Activation</t>
  </si>
  <si>
    <t xml:space="preserve">Будівле-місяці пілотів</t>
  </si>
  <si>
    <t xml:space="preserve">пілоти × 1 + утримані × (3 − 1)</t>
  </si>
  <si>
    <t xml:space="preserve">Обслуговування пілотів, EUR</t>
  </si>
  <si>
    <t xml:space="preserve">буд.-міс. × COGS 16</t>
  </si>
  <si>
    <t xml:space="preserve">Події і демонстрації, EUR</t>
  </si>
  <si>
    <t xml:space="preserve">Цифровий маркетинг, EUR</t>
  </si>
  <si>
    <t xml:space="preserve">spend − пілоти − події</t>
  </si>
  <si>
    <t xml:space="preserve">Acquisition spend, EUR</t>
  </si>
  <si>
    <t xml:space="preserve">сума</t>
  </si>
  <si>
    <t xml:space="preserve">CPL, EUR за лід</t>
  </si>
  <si>
    <t xml:space="preserve">spend / ліди</t>
  </si>
  <si>
    <t xml:space="preserve">Вартість пілоту, EUR</t>
  </si>
  <si>
    <t xml:space="preserve">spend / пілоти</t>
  </si>
  <si>
    <t xml:space="preserve">Метрика</t>
  </si>
  <si>
    <t xml:space="preserve">Період / одиниця</t>
  </si>
  <si>
    <t xml:space="preserve">x5_cac</t>
  </si>
  <si>
    <t xml:space="preserve">acquisition spend / нові платні клієнти</t>
  </si>
  <si>
    <t xml:space="preserve">EUR на нового клієнта, місяць</t>
  </si>
  <si>
    <t xml:space="preserve">x5_arpa</t>
  </si>
  <si>
    <t xml:space="preserve">ARPA</t>
  </si>
  <si>
    <t xml:space="preserve">Revenue / активні акаунти</t>
  </si>
  <si>
    <t xml:space="preserve">EUR на акаунт за місяць</t>
  </si>
  <si>
    <t xml:space="preserve">x5_arpu_b</t>
  </si>
  <si>
    <t xml:space="preserve">Довідково: Revenue на будівлю</t>
  </si>
  <si>
    <t xml:space="preserve">Revenue / будівлі (не змішується з ARPA)</t>
  </si>
  <si>
    <t xml:space="preserve">EUR на будівлю за місяць</t>
  </si>
  <si>
    <t xml:space="preserve">x5_cogs_pa</t>
  </si>
  <si>
    <t xml:space="preserve">COGS на акаунт</t>
  </si>
  <si>
    <t xml:space="preserve">COGS / активні акаунти</t>
  </si>
  <si>
    <t xml:space="preserve">x5_gp</t>
  </si>
  <si>
    <t xml:space="preserve">Gross profit на акаунт</t>
  </si>
  <si>
    <t xml:space="preserve">ARPA − COGS на акаунт</t>
  </si>
  <si>
    <t xml:space="preserve">x5_gm</t>
  </si>
  <si>
    <t xml:space="preserve">Gross margin</t>
  </si>
  <si>
    <t xml:space="preserve">(Revenue − COGS) / Revenue</t>
  </si>
  <si>
    <t xml:space="preserve">x5_ov</t>
  </si>
  <si>
    <t xml:space="preserve">Інші змінні витрати на акаунт</t>
  </si>
  <si>
    <t xml:space="preserve">ARPA × 6%</t>
  </si>
  <si>
    <t xml:space="preserve">x5_cm</t>
  </si>
  <si>
    <t xml:space="preserve">Contribution margin на акаунт</t>
  </si>
  <si>
    <t xml:space="preserve">ARPA − COGS − інші змінні</t>
  </si>
  <si>
    <t xml:space="preserve">x5_cmr</t>
  </si>
  <si>
    <t xml:space="preserve">Contribution margin ratio</t>
  </si>
  <si>
    <t xml:space="preserve">CM / ARPA</t>
  </si>
  <si>
    <t xml:space="preserve">x5_lost_n</t>
  </si>
  <si>
    <t xml:space="preserve">Втрачені клієнти за місяць</t>
  </si>
  <si>
    <t xml:space="preserve">churn × клієнти на початок місяця</t>
  </si>
  <si>
    <t xml:space="preserve">x5_lost</t>
  </si>
  <si>
    <t xml:space="preserve">Втрачений recurring revenue</t>
  </si>
  <si>
    <t xml:space="preserve">churn × MRR на початок (B7)</t>
  </si>
  <si>
    <t xml:space="preserve">x5_contr</t>
  </si>
  <si>
    <t xml:space="preserve">Скорочення: завершені епізоди overage</t>
  </si>
  <si>
    <t xml:space="preserve">overage / 12</t>
  </si>
  <si>
    <t xml:space="preserve">x5_exp</t>
  </si>
  <si>
    <t xml:space="preserve">Expansion: нові епізоди overage</t>
  </si>
  <si>
    <t xml:space="preserve">дорівнює скороченню (B7)</t>
  </si>
  <si>
    <t xml:space="preserve">x5_grc</t>
  </si>
  <si>
    <t xml:space="preserve">Gross revenue churn</t>
  </si>
  <si>
    <t xml:space="preserve">(втрачений + скорочений) / MRR</t>
  </si>
  <si>
    <t xml:space="preserve">частка за місяць</t>
  </si>
  <si>
    <t xml:space="preserve">x5_nrc</t>
  </si>
  <si>
    <t xml:space="preserve">Net revenue churn</t>
  </si>
  <si>
    <t xml:space="preserve">(втрачений + скорочений − expansion) / MRR</t>
  </si>
  <si>
    <t xml:space="preserve">x5_ltv</t>
  </si>
  <si>
    <t xml:space="preserve">Просте LTV</t>
  </si>
  <si>
    <t xml:space="preserve">ARPA × GM / logo churn</t>
  </si>
  <si>
    <t xml:space="preserve">EUR на клієнта</t>
  </si>
  <si>
    <t xml:space="preserve">x5_ltv_cac</t>
  </si>
  <si>
    <t xml:space="preserve">LTV / CAC</t>
  </si>
  <si>
    <t xml:space="preserve">просте LTV / CAC</t>
  </si>
  <si>
    <t xml:space="preserve">раз</t>
  </si>
  <si>
    <t xml:space="preserve">x5_payback</t>
  </si>
  <si>
    <t xml:space="preserve">CAC payback</t>
  </si>
  <si>
    <t xml:space="preserve">CAC / gross profit нового клієнта</t>
  </si>
  <si>
    <t xml:space="preserve">x5_life</t>
  </si>
  <si>
    <t xml:space="preserve">Середній строк життя клієнта</t>
  </si>
  <si>
    <t xml:space="preserve">1 / churn</t>
  </si>
  <si>
    <t xml:space="preserve">x5_ltv_cm</t>
  </si>
  <si>
    <t xml:space="preserve">LTV за contribution margin</t>
  </si>
  <si>
    <t xml:space="preserve">CM / logo churn</t>
  </si>
  <si>
    <t xml:space="preserve">x5_ltv_rev</t>
  </si>
  <si>
    <t xml:space="preserve">LTV за gross revenue churn</t>
  </si>
  <si>
    <t xml:space="preserve">GP / gross revenue churn</t>
  </si>
  <si>
    <t xml:space="preserve">x5_ltv_disc</t>
  </si>
  <si>
    <t xml:space="preserve">LTV з дисконтуванням 10% річних</t>
  </si>
  <si>
    <t xml:space="preserve">GP × (1 + d) / (churn + d)</t>
  </si>
  <si>
    <t xml:space="preserve">x5_ltv_cap</t>
  </si>
  <si>
    <t xml:space="preserve">LTV за 36 міс.</t>
  </si>
  <si>
    <t xml:space="preserve">GP × (1 − (1 − churn)^36) / churn</t>
  </si>
  <si>
    <t xml:space="preserve">x5_payback_cm</t>
  </si>
  <si>
    <t xml:space="preserve">CAC payback за CM</t>
  </si>
  <si>
    <t xml:space="preserve">CAC / CM на акаунт</t>
  </si>
  <si>
    <t xml:space="preserve">Формула / припущення</t>
  </si>
  <si>
    <t xml:space="preserve">Результат</t>
  </si>
  <si>
    <t xml:space="preserve">x5_be_cm</t>
  </si>
  <si>
    <t xml:space="preserve">Contribution margin per unit</t>
  </si>
  <si>
    <t xml:space="preserve">CM на акаунт (одиниця BE: активний клієнт)</t>
  </si>
  <si>
    <t xml:space="preserve">x5_be_fixed</t>
  </si>
  <si>
    <t xml:space="preserve">Fixed product OPEX</t>
  </si>
  <si>
    <t xml:space="preserve">варіант 14, EUR на місяць</t>
  </si>
  <si>
    <t xml:space="preserve">x5_be_acq</t>
  </si>
  <si>
    <t xml:space="preserve">Регулярний acquisition spend</t>
  </si>
  <si>
    <t xml:space="preserve">варіант 14, EUR на місяць, B10</t>
  </si>
  <si>
    <t xml:space="preserve">x5_be_p</t>
  </si>
  <si>
    <t xml:space="preserve">Product break-even units</t>
  </si>
  <si>
    <t xml:space="preserve">fixed OPEX / CM</t>
  </si>
  <si>
    <t xml:space="preserve">x5_be_p_int</t>
  </si>
  <si>
    <t xml:space="preserve">Product break-even, цілих клієнтів</t>
  </si>
  <si>
    <t xml:space="preserve">ROUNDUP</t>
  </si>
  <si>
    <t xml:space="preserve">x5_be_o</t>
  </si>
  <si>
    <t xml:space="preserve">Operating break-even units</t>
  </si>
  <si>
    <t xml:space="preserve">(fixed OPEX + acquisition spend) / CM</t>
  </si>
  <si>
    <t xml:space="preserve">x5_be_o_int</t>
  </si>
  <si>
    <t xml:space="preserve">Operating break-even, цілих клієнтів</t>
  </si>
  <si>
    <t xml:space="preserve">x5_be_p_rev</t>
  </si>
  <si>
    <t xml:space="preserve">Product break-even revenue</t>
  </si>
  <si>
    <t xml:space="preserve">fixed OPEX / CM ratio</t>
  </si>
  <si>
    <t xml:space="preserve">x5_be_o_rev</t>
  </si>
  <si>
    <t xml:space="preserve">Operating break-even revenue</t>
  </si>
  <si>
    <t xml:space="preserve">(fixed OPEX + spend) / CM ratio</t>
  </si>
  <si>
    <t xml:space="preserve">x5_be_p_b</t>
  </si>
  <si>
    <t xml:space="preserve">Product break-even, будівель</t>
  </si>
  <si>
    <t xml:space="preserve">units × 1,7</t>
  </si>
  <si>
    <t xml:space="preserve">x5_be_o_b</t>
  </si>
  <si>
    <t xml:space="preserve">Operating break-even, будівель</t>
  </si>
  <si>
    <t xml:space="preserve">x5_be_mos</t>
  </si>
  <si>
    <t xml:space="preserve">Запас безпеки Y3 ЛР № 4 над product BE</t>
  </si>
  <si>
    <t xml:space="preserve">(клієнти Y3 − BE) / клієнти Y3</t>
  </si>
  <si>
    <t xml:space="preserve">x5_be_mos_o</t>
  </si>
  <si>
    <t xml:space="preserve">Запас безпеки M12 над operating BE</t>
  </si>
  <si>
    <t xml:space="preserve">(клієнти M12 − BE) / клієнти M12</t>
  </si>
  <si>
    <t xml:space="preserve">x5_be_steady</t>
  </si>
  <si>
    <t xml:space="preserve">Стаціонарна база клієнтів</t>
  </si>
  <si>
    <t xml:space="preserve">нові / churn</t>
  </si>
  <si>
    <t xml:space="preserve">x5_m_p</t>
  </si>
  <si>
    <t xml:space="preserve">Перший місяць product BE</t>
  </si>
  <si>
    <t xml:space="preserve">аркуш «Прогноз 12 міс.»</t>
  </si>
  <si>
    <t xml:space="preserve">x5_m_o</t>
  </si>
  <si>
    <t xml:space="preserve">Перший місяць operating BE</t>
  </si>
  <si>
    <t xml:space="preserve">Міс.</t>
  </si>
  <si>
    <t xml:space="preserve">Календарний місяць</t>
  </si>
  <si>
    <t xml:space="preserve">Клієнти на початок</t>
  </si>
  <si>
    <t xml:space="preserve">Нові</t>
  </si>
  <si>
    <t xml:space="preserve">Втрачені</t>
  </si>
  <si>
    <t xml:space="preserve">Клієнти на кінець</t>
  </si>
  <si>
    <t xml:space="preserve">Будівлі</t>
  </si>
  <si>
    <t xml:space="preserve">COGS</t>
  </si>
  <si>
    <t xml:space="preserve">Інші змінні</t>
  </si>
  <si>
    <t xml:space="preserve">Contribution margin</t>
  </si>
  <si>
    <t xml:space="preserve">Fixed OPEX</t>
  </si>
  <si>
    <t xml:space="preserve">Product результат</t>
  </si>
  <si>
    <t xml:space="preserve">Acquisition spend</t>
  </si>
  <si>
    <t xml:space="preserve">Operating результат</t>
  </si>
  <si>
    <t xml:space="preserve">Наростаючий operating</t>
  </si>
  <si>
    <t xml:space="preserve">Прапорець product</t>
  </si>
  <si>
    <t xml:space="preserve">Прапорець operating</t>
  </si>
  <si>
    <t xml:space="preserve">Product BE</t>
  </si>
  <si>
    <t xml:space="preserve">Operating BE</t>
  </si>
  <si>
    <t xml:space="preserve">вер 2027</t>
  </si>
  <si>
    <t xml:space="preserve">жов 2027</t>
  </si>
  <si>
    <t xml:space="preserve">лис 2027</t>
  </si>
  <si>
    <t xml:space="preserve">гру 2027</t>
  </si>
  <si>
    <t xml:space="preserve">січ 2028</t>
  </si>
  <si>
    <t xml:space="preserve">лют 2028</t>
  </si>
  <si>
    <t xml:space="preserve">бер 2028</t>
  </si>
  <si>
    <t xml:space="preserve">кві 2028</t>
  </si>
  <si>
    <t xml:space="preserve">тра 2028</t>
  </si>
  <si>
    <t xml:space="preserve">чер 2028</t>
  </si>
  <si>
    <t xml:space="preserve">лип 2028</t>
  </si>
  <si>
    <t xml:space="preserve">сер 2028</t>
  </si>
  <si>
    <t xml:space="preserve">Підсумок</t>
  </si>
  <si>
    <t xml:space="preserve">Клієнтів на кінець M12</t>
  </si>
  <si>
    <t xml:space="preserve">Наростаючий operating результат M1...M12, EUR</t>
  </si>
  <si>
    <t xml:space="preserve">Втрата трьох місяців пілотів до M1, EUR</t>
  </si>
  <si>
    <t xml:space="preserve">Cost baseline MVP ЛР № 3, EUR</t>
  </si>
  <si>
    <t xml:space="preserve">Залишок неокупленої інвестиції після M12, EUR</t>
  </si>
  <si>
    <t xml:space="preserve">Фактор / показник</t>
  </si>
  <si>
    <t xml:space="preserve">−20%</t>
  </si>
  <si>
    <t xml:space="preserve">База</t>
  </si>
  <si>
    <t xml:space="preserve">+20%</t>
  </si>
  <si>
    <t xml:space="preserve">Що змінилося</t>
  </si>
  <si>
    <t xml:space="preserve">Множник фактора</t>
  </si>
  <si>
    <t xml:space="preserve">інші параметри незмінні</t>
  </si>
  <si>
    <t xml:space="preserve">Churn</t>
  </si>
  <si>
    <t xml:space="preserve">LTV/CAC; місяць BE</t>
  </si>
  <si>
    <t xml:space="preserve">Просте LTV, EUR</t>
  </si>
  <si>
    <t xml:space="preserve">Стаціонарна база, клієнтів</t>
  </si>
  <si>
    <t xml:space="preserve">Місяць product BE</t>
  </si>
  <si>
    <t xml:space="preserve">Місяць operating BE</t>
  </si>
  <si>
    <t xml:space="preserve">Ціна</t>
  </si>
  <si>
    <t xml:space="preserve">LTV/CAC; BE units</t>
  </si>
  <si>
    <t xml:space="preserve">ARPA, EUR</t>
  </si>
  <si>
    <t xml:space="preserve">CM на акаунт, EUR</t>
  </si>
  <si>
    <t xml:space="preserve">Product BE units</t>
  </si>
  <si>
    <t xml:space="preserve">Operating BE units</t>
  </si>
  <si>
    <t xml:space="preserve">LTV/CAC; payback</t>
  </si>
  <si>
    <t xml:space="preserve">CAC, EUR</t>
  </si>
  <si>
    <t xml:space="preserve">CAC payback, міс.</t>
  </si>
  <si>
    <t xml:space="preserve">Припущення для ціни: змінюються всі ціни прайсу (базовий платіж, ціна будівлі, ставка overage 55 EUR); COGS на акаунт 34,83 EUR незмінний; інші змінні витрати 6% від нової ARPA.</t>
  </si>
  <si>
    <t xml:space="preserve">Припущення для CAC: 7 нових клієнтів сталі, тому CAC змінюється разом з acquisition spend.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</si>
</sst>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#,##0"/>
    <numFmt numFmtId="167" formatCode="0.00%"/>
    <numFmt numFmtId="168" formatCode="0.00"/>
    <numFmt numFmtId="169" formatCode="0.0000%"/>
    <numFmt numFmtId="170" formatCode="0"/>
    <numFmt numFmtId="171" formatCode="0.0%"/>
    <numFmt numFmtId="172" formatCode="0.000%"/>
    <numFmt numFmtId="173" formatCode="#,##0;\−#,##0"/>
    <numFmt numFmtId="174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8F7"/>
        <bgColor rgb="FFD9D9D9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9890"/>
      </left>
      <right style="thin">
        <color rgb="FF9A9890"/>
      </right>
      <top style="thin">
        <color rgb="FF9A9890"/>
      </top>
      <bottom style="thin">
        <color rgb="FF9A989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3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4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4D6"/>
      <rgbColor rgb="FFDCE8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666699"/>
      <rgbColor rgb="FF9A9890"/>
      <rgbColor rgb="FF003366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Клієнти на кінець місяця і межі break-even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'Прогноз 12 міс.'!F1</c:f>
              <c:strCache>
                <c:ptCount val="1"/>
                <c:pt idx="0">
                  <c:v>Клієнти на кінець</c:v>
                </c:pt>
              </c:strCache>
            </c:strRef>
          </c:tx>
          <c:spPr>
            <a:solidFill>
              <a:srgbClr val="2a78d6"/>
            </a:solidFill>
            <a:ln w="28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'Прогноз 12 міс.'!$A$2:$A$13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'Прогноз 12 міс.'!$F$2:$F$13</c:f>
              <c:numCache>
                <c:formatCode>0.00</c:formatCode>
                <c:ptCount val="12"/>
                <c:pt idx="0">
                  <c:v>7</c:v>
                </c:pt>
                <c:pt idx="1">
                  <c:v>13.79</c:v>
                </c:pt>
                <c:pt idx="2">
                  <c:v>20.3763</c:v>
                </c:pt>
                <c:pt idx="3">
                  <c:v>26.765011</c:v>
                </c:pt>
                <c:pt idx="4">
                  <c:v>32.96206067</c:v>
                </c:pt>
                <c:pt idx="5">
                  <c:v>38.9731988499</c:v>
                </c:pt>
                <c:pt idx="6">
                  <c:v>44.804002884403</c:v>
                </c:pt>
                <c:pt idx="7">
                  <c:v>50.4598827978709</c:v>
                </c:pt>
                <c:pt idx="8">
                  <c:v>55.9460863139348</c:v>
                </c:pt>
                <c:pt idx="9">
                  <c:v>61.2677037245168</c:v>
                </c:pt>
                <c:pt idx="10">
                  <c:v>66.4296726127813</c:v>
                </c:pt>
                <c:pt idx="11">
                  <c:v>71.4367824343978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'Прогноз 12 міс.'!T1</c:f>
              <c:strCache>
                <c:ptCount val="1"/>
                <c:pt idx="0">
                  <c:v>Product BE</c:v>
                </c:pt>
              </c:strCache>
            </c:strRef>
          </c:tx>
          <c:spPr>
            <a:solidFill>
              <a:srgbClr val="eb6834"/>
            </a:solidFill>
            <a:ln w="28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'Прогноз 12 міс.'!$A$2:$A$13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'Прогноз 12 міс.'!$T$2:$T$13</c:f>
              <c:numCache>
                <c:formatCode>0.00</c:formatCode>
                <c:ptCount val="12"/>
                <c:pt idx="0">
                  <c:v>49.2774286380704</c:v>
                </c:pt>
                <c:pt idx="1">
                  <c:v>49.2774286380704</c:v>
                </c:pt>
                <c:pt idx="2">
                  <c:v>49.2774286380704</c:v>
                </c:pt>
                <c:pt idx="3">
                  <c:v>49.2774286380704</c:v>
                </c:pt>
                <c:pt idx="4">
                  <c:v>49.2774286380704</c:v>
                </c:pt>
                <c:pt idx="5">
                  <c:v>49.2774286380704</c:v>
                </c:pt>
                <c:pt idx="6">
                  <c:v>49.2774286380704</c:v>
                </c:pt>
                <c:pt idx="7">
                  <c:v>49.2774286380704</c:v>
                </c:pt>
                <c:pt idx="8">
                  <c:v>49.2774286380704</c:v>
                </c:pt>
                <c:pt idx="9">
                  <c:v>49.2774286380704</c:v>
                </c:pt>
                <c:pt idx="10">
                  <c:v>49.2774286380704</c:v>
                </c:pt>
                <c:pt idx="11">
                  <c:v>49.2774286380704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'Прогноз 12 міс.'!U1</c:f>
              <c:strCache>
                <c:ptCount val="1"/>
                <c:pt idx="0">
                  <c:v>Operating BE</c:v>
                </c:pt>
              </c:strCache>
            </c:strRef>
          </c:tx>
          <c:spPr>
            <a:solidFill>
              <a:srgbClr val="1baf7a"/>
            </a:solidFill>
            <a:ln w="2808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'Прогноз 12 міс.'!$A$2:$A$13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'Прогноз 12 міс.'!$U$2:$U$13</c:f>
              <c:numCache>
                <c:formatCode>0.00</c:formatCode>
                <c:ptCount val="12"/>
                <c:pt idx="0">
                  <c:v>67.8933461235637</c:v>
                </c:pt>
                <c:pt idx="1">
                  <c:v>67.8933461235637</c:v>
                </c:pt>
                <c:pt idx="2">
                  <c:v>67.8933461235637</c:v>
                </c:pt>
                <c:pt idx="3">
                  <c:v>67.8933461235637</c:v>
                </c:pt>
                <c:pt idx="4">
                  <c:v>67.8933461235637</c:v>
                </c:pt>
                <c:pt idx="5">
                  <c:v>67.8933461235637</c:v>
                </c:pt>
                <c:pt idx="6">
                  <c:v>67.8933461235637</c:v>
                </c:pt>
                <c:pt idx="7">
                  <c:v>67.8933461235637</c:v>
                </c:pt>
                <c:pt idx="8">
                  <c:v>67.8933461235637</c:v>
                </c:pt>
                <c:pt idx="9">
                  <c:v>67.8933461235637</c:v>
                </c:pt>
                <c:pt idx="10">
                  <c:v>67.8933461235637</c:v>
                </c:pt>
                <c:pt idx="11">
                  <c:v>67.8933461235637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97965"/>
        <c:axId val="5784524"/>
      </c:lineChart>
      <c:catAx>
        <c:axId val="76979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Місяць прогнозу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84524"/>
        <c:crosses val="autoZero"/>
        <c:auto val="1"/>
        <c:lblAlgn val="ctr"/>
        <c:lblOffset val="100"/>
        <c:noMultiLvlLbl val="0"/>
      </c:catAx>
      <c:valAx>
        <c:axId val="5784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Активні клієнти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979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14</xdr:row>
      <xdr:rowOff>78120</xdr:rowOff>
    </xdr:from>
    <xdr:to>
      <xdr:col>15</xdr:col>
      <xdr:colOff>699840</xdr:colOff>
      <xdr:row>29</xdr:row>
      <xdr:rowOff>100440</xdr:rowOff>
    </xdr:to>
    <xdr:graphicFrame>
      <xdr:nvGraphicFramePr>
        <xdr:cNvPr id="1" name="Chart 1"/>
        <xdr:cNvGraphicFramePr/>
      </xdr:nvGraphicFramePr>
      <xdr:xfrm>
        <a:off x="4370040" y="2857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6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n">
        <v>3400</v>
      </c>
      <c r="D2" s="2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4" t="n">
        <v>7</v>
      </c>
      <c r="D3" s="2" t="s">
        <v>13</v>
      </c>
      <c r="E3" s="2" t="s">
        <v>9</v>
      </c>
      <c r="F3" s="2" t="s">
        <v>10</v>
      </c>
    </row>
    <row r="4" customFormat="false" ht="15" hidden="false" customHeight="false" outlineLevel="0" collapsed="false">
      <c r="A4" s="2" t="s">
        <v>14</v>
      </c>
      <c r="B4" s="2" t="s">
        <v>15</v>
      </c>
      <c r="C4" s="5" t="n">
        <v>0.03</v>
      </c>
      <c r="D4" s="2" t="s">
        <v>16</v>
      </c>
      <c r="E4" s="2" t="s">
        <v>9</v>
      </c>
      <c r="F4" s="2" t="s">
        <v>10</v>
      </c>
    </row>
    <row r="5" customFormat="false" ht="15" hidden="false" customHeight="false" outlineLevel="0" collapsed="false">
      <c r="A5" s="2" t="s">
        <v>17</v>
      </c>
      <c r="B5" s="2" t="s">
        <v>18</v>
      </c>
      <c r="C5" s="3" t="n">
        <v>9000</v>
      </c>
      <c r="D5" s="2" t="s">
        <v>8</v>
      </c>
      <c r="E5" s="2" t="s">
        <v>9</v>
      </c>
      <c r="F5" s="2" t="s">
        <v>10</v>
      </c>
    </row>
    <row r="6" customFormat="false" ht="15" hidden="false" customHeight="false" outlineLevel="0" collapsed="false">
      <c r="A6" s="2" t="s">
        <v>19</v>
      </c>
      <c r="B6" s="2" t="s">
        <v>20</v>
      </c>
      <c r="C6" s="4" t="n">
        <v>85</v>
      </c>
      <c r="D6" s="2" t="s">
        <v>21</v>
      </c>
      <c r="E6" s="2" t="s">
        <v>9</v>
      </c>
      <c r="F6" s="2" t="s">
        <v>22</v>
      </c>
    </row>
    <row r="7" customFormat="false" ht="23.85" hidden="false" customHeight="false" outlineLevel="0" collapsed="false">
      <c r="A7" s="2" t="s">
        <v>23</v>
      </c>
      <c r="B7" s="2" t="s">
        <v>24</v>
      </c>
      <c r="C7" s="6" t="n">
        <f aca="false">x5_rev_bu+x5_over</f>
        <v>11567.5</v>
      </c>
      <c r="D7" s="2" t="s">
        <v>8</v>
      </c>
      <c r="E7" s="2" t="s">
        <v>25</v>
      </c>
      <c r="F7" s="2" t="s">
        <v>26</v>
      </c>
    </row>
    <row r="8" customFormat="false" ht="15" hidden="false" customHeight="false" outlineLevel="0" collapsed="false">
      <c r="A8" s="2" t="s">
        <v>27</v>
      </c>
      <c r="B8" s="2" t="s">
        <v>28</v>
      </c>
      <c r="C8" s="3" t="n">
        <v>11100</v>
      </c>
      <c r="D8" s="2" t="s">
        <v>8</v>
      </c>
      <c r="E8" s="2" t="s">
        <v>9</v>
      </c>
      <c r="F8" s="2" t="s">
        <v>29</v>
      </c>
    </row>
    <row r="9" customFormat="false" ht="15" hidden="false" customHeight="false" outlineLevel="0" collapsed="false">
      <c r="A9" s="2" t="s">
        <v>30</v>
      </c>
      <c r="B9" s="2" t="s">
        <v>31</v>
      </c>
      <c r="C9" s="3" t="n">
        <v>467.5</v>
      </c>
      <c r="D9" s="2" t="s">
        <v>8</v>
      </c>
      <c r="E9" s="2" t="s">
        <v>9</v>
      </c>
      <c r="F9" s="2" t="s">
        <v>32</v>
      </c>
    </row>
    <row r="10" customFormat="false" ht="15" hidden="false" customHeight="false" outlineLevel="0" collapsed="false">
      <c r="A10" s="2" t="s">
        <v>33</v>
      </c>
      <c r="B10" s="2" t="s">
        <v>34</v>
      </c>
      <c r="C10" s="3" t="n">
        <v>1741.48</v>
      </c>
      <c r="D10" s="2" t="s">
        <v>8</v>
      </c>
      <c r="E10" s="2" t="s">
        <v>9</v>
      </c>
      <c r="F10" s="2" t="s">
        <v>35</v>
      </c>
    </row>
    <row r="11" customFormat="false" ht="15" hidden="false" customHeight="false" outlineLevel="0" collapsed="false">
      <c r="A11" s="2" t="s">
        <v>36</v>
      </c>
      <c r="B11" s="2" t="s">
        <v>37</v>
      </c>
      <c r="C11" s="7" t="n">
        <v>50</v>
      </c>
      <c r="D11" s="2" t="s">
        <v>38</v>
      </c>
      <c r="E11" s="2" t="s">
        <v>9</v>
      </c>
      <c r="F11" s="2" t="s">
        <v>39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7" t="n">
        <v>1.7</v>
      </c>
      <c r="D12" s="2" t="s">
        <v>42</v>
      </c>
      <c r="E12" s="2" t="s">
        <v>9</v>
      </c>
      <c r="F12" s="2" t="s">
        <v>43</v>
      </c>
    </row>
    <row r="13" customFormat="false" ht="15" hidden="false" customHeight="false" outlineLevel="0" collapsed="false">
      <c r="A13" s="2" t="s">
        <v>44</v>
      </c>
      <c r="B13" s="2" t="s">
        <v>45</v>
      </c>
      <c r="C13" s="3" t="n">
        <v>16</v>
      </c>
      <c r="D13" s="2" t="s">
        <v>46</v>
      </c>
      <c r="E13" s="2" t="s">
        <v>9</v>
      </c>
      <c r="F13" s="2" t="s">
        <v>47</v>
      </c>
    </row>
    <row r="14" customFormat="false" ht="15" hidden="false" customHeight="false" outlineLevel="0" collapsed="false">
      <c r="A14" s="2" t="s">
        <v>48</v>
      </c>
      <c r="B14" s="2" t="s">
        <v>49</v>
      </c>
      <c r="C14" s="7" t="n">
        <v>12</v>
      </c>
      <c r="D14" s="2" t="s">
        <v>50</v>
      </c>
      <c r="E14" s="2" t="s">
        <v>51</v>
      </c>
      <c r="F14" s="2" t="s">
        <v>52</v>
      </c>
    </row>
    <row r="15" customFormat="false" ht="15" hidden="false" customHeight="false" outlineLevel="0" collapsed="false">
      <c r="A15" s="2" t="s">
        <v>53</v>
      </c>
      <c r="B15" s="2" t="s">
        <v>54</v>
      </c>
      <c r="C15" s="5" t="n">
        <v>0.1</v>
      </c>
      <c r="D15" s="2" t="s">
        <v>16</v>
      </c>
      <c r="E15" s="2" t="s">
        <v>9</v>
      </c>
      <c r="F15" s="2" t="s">
        <v>55</v>
      </c>
    </row>
    <row r="16" customFormat="false" ht="15" hidden="false" customHeight="false" outlineLevel="0" collapsed="false">
      <c r="A16" s="2" t="s">
        <v>56</v>
      </c>
      <c r="B16" s="2" t="s">
        <v>57</v>
      </c>
      <c r="C16" s="4" t="n">
        <v>70</v>
      </c>
      <c r="D16" s="2" t="s">
        <v>58</v>
      </c>
      <c r="E16" s="2" t="s">
        <v>51</v>
      </c>
      <c r="F16" s="2" t="s">
        <v>59</v>
      </c>
    </row>
    <row r="17" customFormat="false" ht="15" hidden="false" customHeight="false" outlineLevel="0" collapsed="false">
      <c r="A17" s="2" t="s">
        <v>60</v>
      </c>
      <c r="B17" s="2" t="s">
        <v>61</v>
      </c>
      <c r="C17" s="5" t="n">
        <v>0.3</v>
      </c>
      <c r="D17" s="2" t="s">
        <v>16</v>
      </c>
      <c r="E17" s="2" t="s">
        <v>51</v>
      </c>
      <c r="F17" s="2" t="s">
        <v>62</v>
      </c>
    </row>
    <row r="18" customFormat="false" ht="15" hidden="false" customHeight="false" outlineLevel="0" collapsed="false">
      <c r="A18" s="2" t="s">
        <v>63</v>
      </c>
      <c r="B18" s="2" t="s">
        <v>64</v>
      </c>
      <c r="C18" s="4" t="n">
        <v>14</v>
      </c>
      <c r="D18" s="2" t="s">
        <v>65</v>
      </c>
      <c r="E18" s="2" t="s">
        <v>51</v>
      </c>
      <c r="F18" s="2" t="s">
        <v>66</v>
      </c>
    </row>
    <row r="19" customFormat="false" ht="15" hidden="false" customHeight="false" outlineLevel="0" collapsed="false">
      <c r="A19" s="2" t="s">
        <v>67</v>
      </c>
      <c r="B19" s="2" t="s">
        <v>68</v>
      </c>
      <c r="C19" s="7" t="n">
        <v>3</v>
      </c>
      <c r="D19" s="2" t="s">
        <v>50</v>
      </c>
      <c r="E19" s="2" t="s">
        <v>51</v>
      </c>
      <c r="F19" s="2" t="s">
        <v>69</v>
      </c>
    </row>
    <row r="20" customFormat="false" ht="15" hidden="false" customHeight="false" outlineLevel="0" collapsed="false">
      <c r="A20" s="2" t="s">
        <v>70</v>
      </c>
      <c r="B20" s="2" t="s">
        <v>71</v>
      </c>
      <c r="C20" s="7" t="n">
        <v>1</v>
      </c>
      <c r="D20" s="2" t="s">
        <v>50</v>
      </c>
      <c r="E20" s="2" t="s">
        <v>51</v>
      </c>
      <c r="F20" s="2" t="s">
        <v>66</v>
      </c>
    </row>
    <row r="21" customFormat="false" ht="15" hidden="false" customHeight="false" outlineLevel="0" collapsed="false">
      <c r="A21" s="2" t="s">
        <v>72</v>
      </c>
      <c r="B21" s="2" t="s">
        <v>73</v>
      </c>
      <c r="C21" s="3" t="n">
        <v>1200</v>
      </c>
      <c r="D21" s="2" t="s">
        <v>8</v>
      </c>
      <c r="E21" s="2" t="s">
        <v>51</v>
      </c>
      <c r="F21" s="2" t="s">
        <v>74</v>
      </c>
    </row>
    <row r="22" customFormat="false" ht="15" hidden="false" customHeight="false" outlineLevel="0" collapsed="false">
      <c r="A22" s="2" t="s">
        <v>75</v>
      </c>
      <c r="B22" s="2" t="s">
        <v>76</v>
      </c>
      <c r="C22" s="5" t="n">
        <v>0.015</v>
      </c>
      <c r="D22" s="2" t="s">
        <v>16</v>
      </c>
      <c r="E22" s="2" t="s">
        <v>51</v>
      </c>
      <c r="F22" s="2" t="s">
        <v>77</v>
      </c>
    </row>
    <row r="23" customFormat="false" ht="15" hidden="false" customHeight="false" outlineLevel="0" collapsed="false">
      <c r="A23" s="2" t="s">
        <v>78</v>
      </c>
      <c r="B23" s="2" t="s">
        <v>79</v>
      </c>
      <c r="C23" s="5" t="n">
        <v>0.01</v>
      </c>
      <c r="D23" s="2" t="s">
        <v>16</v>
      </c>
      <c r="E23" s="2" t="s">
        <v>51</v>
      </c>
      <c r="F23" s="2" t="s">
        <v>77</v>
      </c>
    </row>
    <row r="24" customFormat="false" ht="15" hidden="false" customHeight="false" outlineLevel="0" collapsed="false">
      <c r="A24" s="2" t="s">
        <v>80</v>
      </c>
      <c r="B24" s="2" t="s">
        <v>81</v>
      </c>
      <c r="C24" s="5" t="n">
        <v>0.035</v>
      </c>
      <c r="D24" s="2" t="s">
        <v>16</v>
      </c>
      <c r="E24" s="2" t="s">
        <v>51</v>
      </c>
      <c r="F24" s="2" t="s">
        <v>82</v>
      </c>
    </row>
    <row r="25" customFormat="false" ht="15" hidden="false" customHeight="false" outlineLevel="0" collapsed="false">
      <c r="A25" s="2" t="s">
        <v>83</v>
      </c>
      <c r="B25" s="2" t="s">
        <v>84</v>
      </c>
      <c r="C25" s="7" t="n">
        <v>36</v>
      </c>
      <c r="D25" s="2" t="s">
        <v>50</v>
      </c>
      <c r="E25" s="2" t="s">
        <v>51</v>
      </c>
      <c r="F25" s="2" t="s">
        <v>85</v>
      </c>
    </row>
    <row r="26" customFormat="false" ht="15" hidden="false" customHeight="false" outlineLevel="0" collapsed="false">
      <c r="A26" s="2" t="s">
        <v>86</v>
      </c>
      <c r="B26" s="2" t="s">
        <v>87</v>
      </c>
      <c r="C26" s="7" t="n">
        <v>12</v>
      </c>
      <c r="D26" s="2" t="s">
        <v>50</v>
      </c>
      <c r="E26" s="2" t="s">
        <v>9</v>
      </c>
      <c r="F26" s="2" t="s">
        <v>88</v>
      </c>
    </row>
    <row r="27" customFormat="false" ht="15" hidden="false" customHeight="false" outlineLevel="0" collapsed="false">
      <c r="A27" s="2" t="s">
        <v>89</v>
      </c>
      <c r="B27" s="2" t="s">
        <v>90</v>
      </c>
      <c r="C27" s="5" t="n">
        <v>0.2</v>
      </c>
      <c r="D27" s="2" t="s">
        <v>16</v>
      </c>
      <c r="E27" s="2" t="s">
        <v>9</v>
      </c>
      <c r="F27" s="2" t="s">
        <v>91</v>
      </c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</row>
    <row r="29" customFormat="false" ht="15" hidden="false" customHeight="false" outlineLevel="0" collapsed="false">
      <c r="A29" s="2" t="s">
        <v>92</v>
      </c>
      <c r="B29" s="2" t="s">
        <v>93</v>
      </c>
      <c r="C29" s="8" t="n">
        <f aca="false">x5_pay+x5_bad+x5_partner</f>
        <v>0.06</v>
      </c>
      <c r="D29" s="2" t="s">
        <v>16</v>
      </c>
      <c r="E29" s="2" t="s">
        <v>25</v>
      </c>
      <c r="F29" s="2" t="s">
        <v>77</v>
      </c>
    </row>
    <row r="30" customFormat="false" ht="15" hidden="false" customHeight="false" outlineLevel="0" collapsed="false">
      <c r="A30" s="2" t="s">
        <v>94</v>
      </c>
      <c r="B30" s="2" t="s">
        <v>95</v>
      </c>
      <c r="C30" s="9" t="n">
        <f aca="false">(1+x5_disc)^(1/12)-1</f>
        <v>0.00797414042890376</v>
      </c>
      <c r="D30" s="2" t="s">
        <v>16</v>
      </c>
      <c r="E30" s="2" t="s">
        <v>25</v>
      </c>
      <c r="F30" s="2" t="s">
        <v>96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97</v>
      </c>
      <c r="B1" s="1" t="s">
        <v>98</v>
      </c>
      <c r="C1" s="1" t="s">
        <v>2</v>
      </c>
      <c r="D1" s="1" t="s">
        <v>5</v>
      </c>
      <c r="E1" s="1" t="s">
        <v>99</v>
      </c>
    </row>
    <row r="2" customFormat="false" ht="23.85" hidden="false" customHeight="false" outlineLevel="0" collapsed="false">
      <c r="A2" s="2" t="s">
        <v>59</v>
      </c>
      <c r="B2" s="2" t="s">
        <v>100</v>
      </c>
      <c r="C2" s="2" t="s">
        <v>101</v>
      </c>
      <c r="D2" s="2" t="s">
        <v>102</v>
      </c>
      <c r="E2" s="2" t="s">
        <v>103</v>
      </c>
    </row>
    <row r="3" customFormat="false" ht="23.85" hidden="false" customHeight="false" outlineLevel="0" collapsed="false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108</v>
      </c>
    </row>
    <row r="4" customFormat="false" ht="23.85" hidden="false" customHeight="false" outlineLevel="0" collapsed="false">
      <c r="A4" s="2" t="s">
        <v>77</v>
      </c>
      <c r="B4" s="2" t="s">
        <v>109</v>
      </c>
      <c r="C4" s="2" t="s">
        <v>110</v>
      </c>
      <c r="D4" s="2" t="s">
        <v>111</v>
      </c>
      <c r="E4" s="2" t="s">
        <v>112</v>
      </c>
    </row>
    <row r="5" customFormat="false" ht="23.85" hidden="false" customHeight="false" outlineLevel="0" collapsed="false">
      <c r="A5" s="2" t="s">
        <v>66</v>
      </c>
      <c r="B5" s="2" t="s">
        <v>113</v>
      </c>
      <c r="C5" s="2" t="s">
        <v>114</v>
      </c>
      <c r="D5" s="2" t="s">
        <v>115</v>
      </c>
      <c r="E5" s="2" t="s">
        <v>116</v>
      </c>
    </row>
    <row r="6" customFormat="false" ht="23.85" hidden="false" customHeight="false" outlineLevel="0" collapsed="false">
      <c r="A6" s="2" t="s">
        <v>74</v>
      </c>
      <c r="B6" s="2" t="s">
        <v>117</v>
      </c>
      <c r="C6" s="2" t="s">
        <v>118</v>
      </c>
      <c r="D6" s="2" t="s">
        <v>119</v>
      </c>
      <c r="E6" s="2" t="s">
        <v>120</v>
      </c>
    </row>
    <row r="7" customFormat="false" ht="35.05" hidden="false" customHeight="false" outlineLevel="0" collapsed="false">
      <c r="A7" s="2" t="s">
        <v>121</v>
      </c>
      <c r="B7" s="2" t="s">
        <v>122</v>
      </c>
      <c r="C7" s="2" t="s">
        <v>123</v>
      </c>
      <c r="D7" s="2" t="s">
        <v>124</v>
      </c>
      <c r="E7" s="2" t="s">
        <v>125</v>
      </c>
    </row>
    <row r="8" customFormat="false" ht="35.05" hidden="false" customHeight="false" outlineLevel="0" collapsed="false">
      <c r="A8" s="2" t="s">
        <v>126</v>
      </c>
      <c r="B8" s="2" t="s">
        <v>127</v>
      </c>
      <c r="C8" s="2" t="s">
        <v>128</v>
      </c>
      <c r="D8" s="2" t="s">
        <v>129</v>
      </c>
      <c r="E8" s="2" t="s">
        <v>130</v>
      </c>
    </row>
    <row r="9" customFormat="false" ht="23.85" hidden="false" customHeight="false" outlineLevel="0" collapsed="false">
      <c r="A9" s="2" t="s">
        <v>131</v>
      </c>
      <c r="B9" s="2" t="s">
        <v>132</v>
      </c>
      <c r="C9" s="2" t="s">
        <v>133</v>
      </c>
      <c r="D9" s="2" t="s">
        <v>51</v>
      </c>
      <c r="E9" s="2" t="s">
        <v>134</v>
      </c>
    </row>
    <row r="10" customFormat="false" ht="23.85" hidden="false" customHeight="false" outlineLevel="0" collapsed="false">
      <c r="A10" s="2" t="s">
        <v>135</v>
      </c>
      <c r="B10" s="2" t="s">
        <v>136</v>
      </c>
      <c r="C10" s="2" t="s">
        <v>137</v>
      </c>
      <c r="D10" s="2" t="s">
        <v>138</v>
      </c>
      <c r="E10" s="2" t="s">
        <v>139</v>
      </c>
    </row>
    <row r="11" customFormat="false" ht="23.85" hidden="false" customHeight="false" outlineLevel="0" collapsed="false">
      <c r="A11" s="2" t="s">
        <v>140</v>
      </c>
      <c r="B11" s="2" t="s">
        <v>141</v>
      </c>
      <c r="C11" s="2" t="s">
        <v>142</v>
      </c>
      <c r="D11" s="2" t="s">
        <v>143</v>
      </c>
      <c r="E11" s="2" t="s">
        <v>144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22"/>
  </cols>
  <sheetData>
    <row r="1" customFormat="false" ht="23.85" hidden="false" customHeight="false" outlineLevel="0" collapsed="false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</row>
    <row r="2" customFormat="false" ht="23.85" hidden="false" customHeight="false" outlineLevel="0" collapsed="false">
      <c r="A2" s="2" t="s">
        <v>150</v>
      </c>
      <c r="B2" s="2" t="s">
        <v>151</v>
      </c>
      <c r="C2" s="10" t="n">
        <f aca="false">x5_leads</f>
        <v>70</v>
      </c>
      <c r="D2" s="11"/>
      <c r="E2" s="2" t="s">
        <v>152</v>
      </c>
    </row>
    <row r="3" customFormat="false" ht="23.85" hidden="false" customHeight="false" outlineLevel="0" collapsed="false">
      <c r="A3" s="2" t="s">
        <v>153</v>
      </c>
      <c r="B3" s="2" t="s">
        <v>154</v>
      </c>
      <c r="C3" s="10" t="n">
        <f aca="false">C2*x5_act</f>
        <v>21</v>
      </c>
      <c r="D3" s="12" t="n">
        <f aca="false">C3/C2</f>
        <v>0.3</v>
      </c>
      <c r="E3" s="2" t="s">
        <v>155</v>
      </c>
    </row>
    <row r="4" customFormat="false" ht="23.85" hidden="false" customHeight="false" outlineLevel="0" collapsed="false">
      <c r="A4" s="2" t="s">
        <v>156</v>
      </c>
      <c r="B4" s="2" t="s">
        <v>157</v>
      </c>
      <c r="C4" s="10" t="n">
        <f aca="false">x5_kept</f>
        <v>14</v>
      </c>
      <c r="D4" s="12" t="n">
        <f aca="false">C4/C3</f>
        <v>0.666666666666667</v>
      </c>
      <c r="E4" s="2" t="s">
        <v>158</v>
      </c>
    </row>
    <row r="5" customFormat="false" ht="15" hidden="false" customHeight="false" outlineLevel="0" collapsed="false">
      <c r="A5" s="2" t="s">
        <v>159</v>
      </c>
      <c r="B5" s="2" t="s">
        <v>160</v>
      </c>
      <c r="C5" s="10" t="n">
        <f aca="false">x5_new</f>
        <v>7</v>
      </c>
      <c r="D5" s="12" t="n">
        <f aca="false">C5/C4</f>
        <v>0.5</v>
      </c>
      <c r="E5" s="2" t="s">
        <v>161</v>
      </c>
    </row>
    <row r="7" customFormat="false" ht="15" hidden="false" customHeight="false" outlineLevel="0" collapsed="false">
      <c r="A7" s="1" t="s">
        <v>1</v>
      </c>
      <c r="B7" s="1" t="s">
        <v>162</v>
      </c>
      <c r="C7" s="1" t="s">
        <v>2</v>
      </c>
    </row>
    <row r="8" customFormat="false" ht="15" hidden="false" customHeight="false" outlineLevel="0" collapsed="false">
      <c r="A8" s="2" t="s">
        <v>163</v>
      </c>
      <c r="B8" s="2" t="s">
        <v>164</v>
      </c>
      <c r="C8" s="12" t="n">
        <f aca="false">C5/C2</f>
        <v>0.1</v>
      </c>
    </row>
    <row r="9" customFormat="false" ht="15" hidden="false" customHeight="false" outlineLevel="0" collapsed="false">
      <c r="A9" s="2" t="s">
        <v>165</v>
      </c>
      <c r="B9" s="2" t="s">
        <v>166</v>
      </c>
      <c r="C9" s="12" t="n">
        <f aca="false">C5/C3</f>
        <v>0.333333333333333</v>
      </c>
    </row>
    <row r="10" customFormat="false" ht="15" hidden="false" customHeight="false" outlineLevel="0" collapsed="false">
      <c r="A10" s="2" t="s">
        <v>167</v>
      </c>
      <c r="B10" s="2" t="s">
        <v>168</v>
      </c>
      <c r="C10" s="10" t="n">
        <f aca="false">C3*x5_check+C4*(x5_pilot_m-x5_check)</f>
        <v>49</v>
      </c>
    </row>
    <row r="11" customFormat="false" ht="15" hidden="false" customHeight="false" outlineLevel="0" collapsed="false">
      <c r="A11" s="2" t="s">
        <v>169</v>
      </c>
      <c r="B11" s="2" t="s">
        <v>170</v>
      </c>
      <c r="C11" s="6" t="n">
        <f aca="false">C10*x5_cogs_unit</f>
        <v>784</v>
      </c>
    </row>
    <row r="12" customFormat="false" ht="15" hidden="false" customHeight="false" outlineLevel="0" collapsed="false">
      <c r="A12" s="2" t="s">
        <v>171</v>
      </c>
      <c r="B12" s="2" t="s">
        <v>74</v>
      </c>
      <c r="C12" s="6" t="n">
        <f aca="false">x5_events</f>
        <v>1200</v>
      </c>
    </row>
    <row r="13" customFormat="false" ht="15" hidden="false" customHeight="false" outlineLevel="0" collapsed="false">
      <c r="A13" s="2" t="s">
        <v>172</v>
      </c>
      <c r="B13" s="2" t="s">
        <v>173</v>
      </c>
      <c r="C13" s="6" t="n">
        <f aca="false">x5_spend-C11-C12</f>
        <v>1416</v>
      </c>
    </row>
    <row r="14" customFormat="false" ht="15" hidden="false" customHeight="false" outlineLevel="0" collapsed="false">
      <c r="A14" s="2" t="s">
        <v>174</v>
      </c>
      <c r="B14" s="2" t="s">
        <v>175</v>
      </c>
      <c r="C14" s="6" t="n">
        <f aca="false">C11+C12+C13</f>
        <v>3400</v>
      </c>
    </row>
    <row r="15" customFormat="false" ht="15" hidden="false" customHeight="false" outlineLevel="0" collapsed="false">
      <c r="A15" s="2" t="s">
        <v>176</v>
      </c>
      <c r="B15" s="2" t="s">
        <v>177</v>
      </c>
      <c r="C15" s="6" t="n">
        <f aca="false">x5_spend/C2</f>
        <v>48.5714285714286</v>
      </c>
    </row>
    <row r="16" customFormat="false" ht="15" hidden="false" customHeight="false" outlineLevel="0" collapsed="false">
      <c r="A16" s="2" t="s">
        <v>178</v>
      </c>
      <c r="B16" s="2" t="s">
        <v>179</v>
      </c>
      <c r="C16" s="6" t="n">
        <f aca="false">x5_spend/C3</f>
        <v>161.904761904762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0</v>
      </c>
      <c r="B1" s="1" t="s">
        <v>180</v>
      </c>
      <c r="C1" s="1" t="s">
        <v>162</v>
      </c>
      <c r="D1" s="1" t="s">
        <v>2</v>
      </c>
      <c r="E1" s="1" t="s">
        <v>181</v>
      </c>
    </row>
    <row r="2" customFormat="false" ht="23.85" hidden="false" customHeight="false" outlineLevel="0" collapsed="false">
      <c r="A2" s="2" t="s">
        <v>182</v>
      </c>
      <c r="B2" s="2" t="s">
        <v>120</v>
      </c>
      <c r="C2" s="2" t="s">
        <v>183</v>
      </c>
      <c r="D2" s="6" t="n">
        <f aca="false">x5_spend/x5_new</f>
        <v>485.714285714286</v>
      </c>
      <c r="E2" s="2" t="s">
        <v>184</v>
      </c>
    </row>
    <row r="3" customFormat="false" ht="15" hidden="false" customHeight="false" outlineLevel="0" collapsed="false">
      <c r="A3" s="2" t="s">
        <v>185</v>
      </c>
      <c r="B3" s="2" t="s">
        <v>186</v>
      </c>
      <c r="C3" s="2" t="s">
        <v>187</v>
      </c>
      <c r="D3" s="6" t="n">
        <f aca="false">x5_rev/x5_clients</f>
        <v>231.35</v>
      </c>
      <c r="E3" s="2" t="s">
        <v>188</v>
      </c>
    </row>
    <row r="4" customFormat="false" ht="15" hidden="false" customHeight="false" outlineLevel="0" collapsed="false">
      <c r="A4" s="2" t="s">
        <v>189</v>
      </c>
      <c r="B4" s="2" t="s">
        <v>190</v>
      </c>
      <c r="C4" s="2" t="s">
        <v>191</v>
      </c>
      <c r="D4" s="6" t="n">
        <f aca="false">x5_rev/x5_scale</f>
        <v>136.088235294118</v>
      </c>
      <c r="E4" s="2" t="s">
        <v>192</v>
      </c>
    </row>
    <row r="5" customFormat="false" ht="15" hidden="false" customHeight="false" outlineLevel="0" collapsed="false">
      <c r="A5" s="2" t="s">
        <v>193</v>
      </c>
      <c r="B5" s="2" t="s">
        <v>194</v>
      </c>
      <c r="C5" s="2" t="s">
        <v>195</v>
      </c>
      <c r="D5" s="6" t="n">
        <f aca="false">x5_cogs/x5_clients</f>
        <v>34.8296</v>
      </c>
      <c r="E5" s="2" t="s">
        <v>188</v>
      </c>
    </row>
    <row r="6" customFormat="false" ht="15" hidden="false" customHeight="false" outlineLevel="0" collapsed="false">
      <c r="A6" s="2" t="s">
        <v>196</v>
      </c>
      <c r="B6" s="2" t="s">
        <v>197</v>
      </c>
      <c r="C6" s="2" t="s">
        <v>198</v>
      </c>
      <c r="D6" s="6" t="n">
        <f aca="false">x5_arpa-x5_cogs_pa</f>
        <v>196.5204</v>
      </c>
      <c r="E6" s="2" t="s">
        <v>188</v>
      </c>
    </row>
    <row r="7" customFormat="false" ht="15" hidden="false" customHeight="false" outlineLevel="0" collapsed="false">
      <c r="A7" s="2" t="s">
        <v>199</v>
      </c>
      <c r="B7" s="2" t="s">
        <v>200</v>
      </c>
      <c r="C7" s="2" t="s">
        <v>201</v>
      </c>
      <c r="D7" s="8" t="n">
        <f aca="false">(x5_rev-x5_cogs)/x5_rev</f>
        <v>0.84945061594986</v>
      </c>
      <c r="E7" s="2" t="s">
        <v>16</v>
      </c>
    </row>
    <row r="8" customFormat="false" ht="15" hidden="false" customHeight="false" outlineLevel="0" collapsed="false">
      <c r="A8" s="2" t="s">
        <v>202</v>
      </c>
      <c r="B8" s="2" t="s">
        <v>203</v>
      </c>
      <c r="C8" s="2" t="s">
        <v>204</v>
      </c>
      <c r="D8" s="6" t="n">
        <f aca="false">x5_arpa*x5_ovshare</f>
        <v>13.881</v>
      </c>
      <c r="E8" s="2" t="s">
        <v>188</v>
      </c>
    </row>
    <row r="9" customFormat="false" ht="15" hidden="false" customHeight="false" outlineLevel="0" collapsed="false">
      <c r="A9" s="2" t="s">
        <v>205</v>
      </c>
      <c r="B9" s="2" t="s">
        <v>206</v>
      </c>
      <c r="C9" s="2" t="s">
        <v>207</v>
      </c>
      <c r="D9" s="6" t="n">
        <f aca="false">x5_arpa-x5_cogs_pa-x5_ov</f>
        <v>182.6394</v>
      </c>
      <c r="E9" s="2" t="s">
        <v>188</v>
      </c>
    </row>
    <row r="10" customFormat="false" ht="15" hidden="false" customHeight="false" outlineLevel="0" collapsed="false">
      <c r="A10" s="2" t="s">
        <v>208</v>
      </c>
      <c r="B10" s="2" t="s">
        <v>209</v>
      </c>
      <c r="C10" s="2" t="s">
        <v>210</v>
      </c>
      <c r="D10" s="8" t="n">
        <f aca="false">x5_cm/x5_arpa</f>
        <v>0.78945061594986</v>
      </c>
      <c r="E10" s="2" t="s">
        <v>16</v>
      </c>
    </row>
    <row r="11" customFormat="false" ht="15" hidden="false" customHeight="false" outlineLevel="0" collapsed="false">
      <c r="A11" s="2" t="s">
        <v>211</v>
      </c>
      <c r="B11" s="2" t="s">
        <v>212</v>
      </c>
      <c r="C11" s="2" t="s">
        <v>213</v>
      </c>
      <c r="D11" s="13" t="n">
        <f aca="false">x5_churn*x5_clients</f>
        <v>1.5</v>
      </c>
      <c r="E11" s="2" t="s">
        <v>38</v>
      </c>
    </row>
    <row r="12" customFormat="false" ht="15" hidden="false" customHeight="false" outlineLevel="0" collapsed="false">
      <c r="A12" s="2" t="s">
        <v>214</v>
      </c>
      <c r="B12" s="2" t="s">
        <v>215</v>
      </c>
      <c r="C12" s="2" t="s">
        <v>216</v>
      </c>
      <c r="D12" s="6" t="n">
        <f aca="false">x5_churn*x5_rev</f>
        <v>347.025</v>
      </c>
      <c r="E12" s="2" t="s">
        <v>8</v>
      </c>
    </row>
    <row r="13" customFormat="false" ht="23.85" hidden="false" customHeight="false" outlineLevel="0" collapsed="false">
      <c r="A13" s="2" t="s">
        <v>217</v>
      </c>
      <c r="B13" s="2" t="s">
        <v>218</v>
      </c>
      <c r="C13" s="2" t="s">
        <v>219</v>
      </c>
      <c r="D13" s="6" t="n">
        <f aca="false">x5_over/x5_episode</f>
        <v>38.9583333333333</v>
      </c>
      <c r="E13" s="2" t="s">
        <v>8</v>
      </c>
    </row>
    <row r="14" customFormat="false" ht="15" hidden="false" customHeight="false" outlineLevel="0" collapsed="false">
      <c r="A14" s="2" t="s">
        <v>220</v>
      </c>
      <c r="B14" s="2" t="s">
        <v>221</v>
      </c>
      <c r="C14" s="2" t="s">
        <v>222</v>
      </c>
      <c r="D14" s="6" t="n">
        <f aca="false">x5_contr</f>
        <v>38.9583333333333</v>
      </c>
      <c r="E14" s="2" t="s">
        <v>8</v>
      </c>
    </row>
    <row r="15" customFormat="false" ht="15" hidden="false" customHeight="false" outlineLevel="0" collapsed="false">
      <c r="A15" s="2" t="s">
        <v>223</v>
      </c>
      <c r="B15" s="2" t="s">
        <v>224</v>
      </c>
      <c r="C15" s="2" t="s">
        <v>225</v>
      </c>
      <c r="D15" s="14" t="n">
        <f aca="false">(x5_lost+x5_contr)/x5_rev</f>
        <v>0.0333679129745696</v>
      </c>
      <c r="E15" s="2" t="s">
        <v>226</v>
      </c>
    </row>
    <row r="16" customFormat="false" ht="23.85" hidden="false" customHeight="false" outlineLevel="0" collapsed="false">
      <c r="A16" s="2" t="s">
        <v>227</v>
      </c>
      <c r="B16" s="2" t="s">
        <v>228</v>
      </c>
      <c r="C16" s="2" t="s">
        <v>229</v>
      </c>
      <c r="D16" s="14" t="n">
        <f aca="false">(x5_lost+x5_contr-x5_exp)/x5_rev</f>
        <v>0.03</v>
      </c>
      <c r="E16" s="2" t="s">
        <v>226</v>
      </c>
    </row>
    <row r="17" customFormat="false" ht="15" hidden="false" customHeight="false" outlineLevel="0" collapsed="false">
      <c r="A17" s="2" t="s">
        <v>230</v>
      </c>
      <c r="B17" s="2" t="s">
        <v>231</v>
      </c>
      <c r="C17" s="2" t="s">
        <v>232</v>
      </c>
      <c r="D17" s="6" t="n">
        <f aca="false">x5_arpa*x5_gm/x5_churn</f>
        <v>6550.68</v>
      </c>
      <c r="E17" s="2" t="s">
        <v>233</v>
      </c>
    </row>
    <row r="18" customFormat="false" ht="15" hidden="false" customHeight="false" outlineLevel="0" collapsed="false">
      <c r="A18" s="2" t="s">
        <v>234</v>
      </c>
      <c r="B18" s="2" t="s">
        <v>235</v>
      </c>
      <c r="C18" s="2" t="s">
        <v>236</v>
      </c>
      <c r="D18" s="13" t="n">
        <f aca="false">x5_ltv/x5_cac</f>
        <v>13.4866941176471</v>
      </c>
      <c r="E18" s="2" t="s">
        <v>237</v>
      </c>
    </row>
    <row r="19" customFormat="false" ht="15" hidden="false" customHeight="false" outlineLevel="0" collapsed="false">
      <c r="A19" s="2" t="s">
        <v>238</v>
      </c>
      <c r="B19" s="2" t="s">
        <v>239</v>
      </c>
      <c r="C19" s="2" t="s">
        <v>240</v>
      </c>
      <c r="D19" s="13" t="n">
        <f aca="false">x5_cac/x5_gp</f>
        <v>2.47157183536308</v>
      </c>
      <c r="E19" s="2" t="s">
        <v>50</v>
      </c>
    </row>
    <row r="20" customFormat="false" ht="15" hidden="false" customHeight="false" outlineLevel="0" collapsed="false">
      <c r="A20" s="2" t="s">
        <v>241</v>
      </c>
      <c r="B20" s="2" t="s">
        <v>242</v>
      </c>
      <c r="C20" s="2" t="s">
        <v>243</v>
      </c>
      <c r="D20" s="13" t="n">
        <f aca="false">1/x5_churn</f>
        <v>33.3333333333333</v>
      </c>
      <c r="E20" s="2" t="s">
        <v>50</v>
      </c>
    </row>
    <row r="21" customFormat="false" ht="15" hidden="false" customHeight="false" outlineLevel="0" collapsed="false">
      <c r="A21" s="2" t="s">
        <v>244</v>
      </c>
      <c r="B21" s="2" t="s">
        <v>245</v>
      </c>
      <c r="C21" s="2" t="s">
        <v>246</v>
      </c>
      <c r="D21" s="6" t="n">
        <f aca="false">x5_cm/x5_churn</f>
        <v>6087.98</v>
      </c>
      <c r="E21" s="2" t="s">
        <v>233</v>
      </c>
    </row>
    <row r="22" customFormat="false" ht="15" hidden="false" customHeight="false" outlineLevel="0" collapsed="false">
      <c r="A22" s="2" t="s">
        <v>247</v>
      </c>
      <c r="B22" s="2" t="s">
        <v>248</v>
      </c>
      <c r="C22" s="2" t="s">
        <v>249</v>
      </c>
      <c r="D22" s="6" t="n">
        <f aca="false">x5_gp/x5_grc</f>
        <v>5889.50229370871</v>
      </c>
      <c r="E22" s="2" t="s">
        <v>233</v>
      </c>
    </row>
    <row r="23" customFormat="false" ht="15" hidden="false" customHeight="false" outlineLevel="0" collapsed="false">
      <c r="A23" s="2" t="s">
        <v>250</v>
      </c>
      <c r="B23" s="2" t="s">
        <v>251</v>
      </c>
      <c r="C23" s="2" t="s">
        <v>252</v>
      </c>
      <c r="D23" s="6" t="n">
        <f aca="false">x5_gp*(1+x5_dm)/(x5_churn+x5_dm)</f>
        <v>5216.37827820248</v>
      </c>
      <c r="E23" s="2" t="s">
        <v>233</v>
      </c>
    </row>
    <row r="24" customFormat="false" ht="15" hidden="false" customHeight="false" outlineLevel="0" collapsed="false">
      <c r="A24" s="2" t="s">
        <v>253</v>
      </c>
      <c r="B24" s="2" t="s">
        <v>254</v>
      </c>
      <c r="C24" s="2" t="s">
        <v>255</v>
      </c>
      <c r="D24" s="6" t="n">
        <f aca="false">x5_gp*(1-(1-x5_churn)^x5_cap)/x5_churn</f>
        <v>4362.57167590805</v>
      </c>
      <c r="E24" s="2" t="s">
        <v>233</v>
      </c>
    </row>
    <row r="25" customFormat="false" ht="23.85" hidden="false" customHeight="false" outlineLevel="0" collapsed="false">
      <c r="A25" s="2" t="s">
        <v>256</v>
      </c>
      <c r="B25" s="2" t="s">
        <v>257</v>
      </c>
      <c r="C25" s="2" t="s">
        <v>258</v>
      </c>
      <c r="D25" s="13" t="n">
        <f aca="false">x5_cac/x5_cm</f>
        <v>2.6594167836419</v>
      </c>
      <c r="E25" s="2" t="s">
        <v>50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40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259</v>
      </c>
      <c r="D1" s="1" t="s">
        <v>260</v>
      </c>
    </row>
    <row r="2" customFormat="false" ht="15" hidden="false" customHeight="false" outlineLevel="0" collapsed="false">
      <c r="A2" s="2" t="s">
        <v>261</v>
      </c>
      <c r="B2" s="2" t="s">
        <v>262</v>
      </c>
      <c r="C2" s="2" t="s">
        <v>263</v>
      </c>
      <c r="D2" s="6" t="n">
        <f aca="false">x5_cm</f>
        <v>182.6394</v>
      </c>
    </row>
    <row r="3" customFormat="false" ht="15" hidden="false" customHeight="false" outlineLevel="0" collapsed="false">
      <c r="A3" s="2" t="s">
        <v>264</v>
      </c>
      <c r="B3" s="2" t="s">
        <v>265</v>
      </c>
      <c r="C3" s="2" t="s">
        <v>266</v>
      </c>
      <c r="D3" s="6" t="n">
        <f aca="false">x5_fixed</f>
        <v>9000</v>
      </c>
    </row>
    <row r="4" customFormat="false" ht="15" hidden="false" customHeight="false" outlineLevel="0" collapsed="false">
      <c r="A4" s="2" t="s">
        <v>267</v>
      </c>
      <c r="B4" s="2" t="s">
        <v>268</v>
      </c>
      <c r="C4" s="2" t="s">
        <v>269</v>
      </c>
      <c r="D4" s="6" t="n">
        <f aca="false">x5_spend</f>
        <v>3400</v>
      </c>
    </row>
    <row r="5" customFormat="false" ht="15" hidden="false" customHeight="false" outlineLevel="0" collapsed="false">
      <c r="A5" s="2" t="s">
        <v>270</v>
      </c>
      <c r="B5" s="2" t="s">
        <v>271</v>
      </c>
      <c r="C5" s="2" t="s">
        <v>272</v>
      </c>
      <c r="D5" s="13" t="n">
        <f aca="false">x5_be_fixed/x5_be_cm</f>
        <v>49.2774286380704</v>
      </c>
    </row>
    <row r="6" customFormat="false" ht="15" hidden="false" customHeight="false" outlineLevel="0" collapsed="false">
      <c r="A6" s="2" t="s">
        <v>273</v>
      </c>
      <c r="B6" s="2" t="s">
        <v>274</v>
      </c>
      <c r="C6" s="2" t="s">
        <v>275</v>
      </c>
      <c r="D6" s="10" t="n">
        <f aca="false">ROUNDUP(x5_be_p-0.000000001,0)</f>
        <v>50</v>
      </c>
    </row>
    <row r="7" customFormat="false" ht="15" hidden="false" customHeight="false" outlineLevel="0" collapsed="false">
      <c r="A7" s="2" t="s">
        <v>276</v>
      </c>
      <c r="B7" s="2" t="s">
        <v>277</v>
      </c>
      <c r="C7" s="2" t="s">
        <v>278</v>
      </c>
      <c r="D7" s="13" t="n">
        <f aca="false">(x5_be_fixed+x5_be_acq)/x5_be_cm</f>
        <v>67.8933461235637</v>
      </c>
    </row>
    <row r="8" customFormat="false" ht="15" hidden="false" customHeight="false" outlineLevel="0" collapsed="false">
      <c r="A8" s="2" t="s">
        <v>279</v>
      </c>
      <c r="B8" s="2" t="s">
        <v>280</v>
      </c>
      <c r="C8" s="2" t="s">
        <v>275</v>
      </c>
      <c r="D8" s="10" t="n">
        <f aca="false">ROUNDUP(x5_be_o-0.000000001,0)</f>
        <v>68</v>
      </c>
    </row>
    <row r="9" customFormat="false" ht="15" hidden="false" customHeight="false" outlineLevel="0" collapsed="false">
      <c r="A9" s="2" t="s">
        <v>281</v>
      </c>
      <c r="B9" s="2" t="s">
        <v>282</v>
      </c>
      <c r="C9" s="2" t="s">
        <v>283</v>
      </c>
      <c r="D9" s="6" t="n">
        <f aca="false">x5_be_fixed/x5_cmr</f>
        <v>11400.3331154176</v>
      </c>
    </row>
    <row r="10" customFormat="false" ht="15" hidden="false" customHeight="false" outlineLevel="0" collapsed="false">
      <c r="A10" s="2" t="s">
        <v>284</v>
      </c>
      <c r="B10" s="2" t="s">
        <v>285</v>
      </c>
      <c r="C10" s="2" t="s">
        <v>286</v>
      </c>
      <c r="D10" s="6" t="n">
        <f aca="false">(x5_be_fixed+x5_be_acq)/x5_cmr</f>
        <v>15707.1256256865</v>
      </c>
    </row>
    <row r="11" customFormat="false" ht="15" hidden="false" customHeight="false" outlineLevel="0" collapsed="false">
      <c r="A11" s="2" t="s">
        <v>287</v>
      </c>
      <c r="B11" s="2" t="s">
        <v>288</v>
      </c>
      <c r="C11" s="2" t="s">
        <v>289</v>
      </c>
      <c r="D11" s="13" t="n">
        <f aca="false">x5_be_p*x5_usage</f>
        <v>83.7716286847197</v>
      </c>
    </row>
    <row r="12" customFormat="false" ht="15" hidden="false" customHeight="false" outlineLevel="0" collapsed="false">
      <c r="A12" s="2" t="s">
        <v>290</v>
      </c>
      <c r="B12" s="2" t="s">
        <v>291</v>
      </c>
      <c r="C12" s="2" t="s">
        <v>289</v>
      </c>
      <c r="D12" s="13" t="n">
        <f aca="false">x5_be_o*x5_usage</f>
        <v>115.418688410058</v>
      </c>
    </row>
    <row r="13" customFormat="false" ht="15" hidden="false" customHeight="false" outlineLevel="0" collapsed="false">
      <c r="A13" s="2" t="s">
        <v>292</v>
      </c>
      <c r="B13" s="2" t="s">
        <v>293</v>
      </c>
      <c r="C13" s="2" t="s">
        <v>294</v>
      </c>
      <c r="D13" s="8" t="n">
        <f aca="false">(x5_clients-x5_be_p)/x5_clients</f>
        <v>0.0144514272385915</v>
      </c>
    </row>
    <row r="14" customFormat="false" ht="15" hidden="false" customHeight="false" outlineLevel="0" collapsed="false">
      <c r="A14" s="2" t="s">
        <v>295</v>
      </c>
      <c r="B14" s="2" t="s">
        <v>296</v>
      </c>
      <c r="C14" s="2" t="s">
        <v>297</v>
      </c>
      <c r="D14" s="8" t="n">
        <f aca="false">('Прогноз 12 міс.'!$F$13-x5_be_o)/'Прогноз 12 міс.'!$F$13</f>
        <v>0.0496024063526117</v>
      </c>
    </row>
    <row r="15" customFormat="false" ht="15" hidden="false" customHeight="false" outlineLevel="0" collapsed="false">
      <c r="A15" s="2" t="s">
        <v>298</v>
      </c>
      <c r="B15" s="2" t="s">
        <v>299</v>
      </c>
      <c r="C15" s="2" t="s">
        <v>300</v>
      </c>
      <c r="D15" s="13" t="n">
        <f aca="false">x5_new/x5_churn</f>
        <v>233.333333333333</v>
      </c>
    </row>
    <row r="16" customFormat="false" ht="15" hidden="false" customHeight="false" outlineLevel="0" collapsed="false">
      <c r="A16" s="2" t="s">
        <v>301</v>
      </c>
      <c r="B16" s="2" t="s">
        <v>302</v>
      </c>
      <c r="C16" s="2" t="s">
        <v>303</v>
      </c>
      <c r="D16" s="10" t="n">
        <f aca="false">'Прогноз 12 міс.'!$F$16</f>
        <v>8</v>
      </c>
    </row>
    <row r="17" customFormat="false" ht="15" hidden="false" customHeight="false" outlineLevel="0" collapsed="false">
      <c r="A17" s="2" t="s">
        <v>304</v>
      </c>
      <c r="B17" s="2" t="s">
        <v>305</v>
      </c>
      <c r="C17" s="2" t="s">
        <v>303</v>
      </c>
      <c r="D17" s="10" t="n">
        <f aca="false">'Прогноз 12 міс.'!$F$17</f>
        <v>12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5" min="13" style="0" width="11"/>
    <col collapsed="false" customWidth="true" hidden="false" outlineLevel="0" max="16" min="16" style="0" width="14"/>
    <col collapsed="false" customWidth="true" hidden="false" outlineLevel="0" max="18" min="17" style="0" width="12.5"/>
    <col collapsed="false" customWidth="true" hidden="false" outlineLevel="0" max="19" min="19" style="0" width="2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3.85" hidden="false" customHeight="false" outlineLevel="0" collapsed="false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159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T1" s="1" t="s">
        <v>323</v>
      </c>
      <c r="U1" s="1" t="s">
        <v>324</v>
      </c>
    </row>
    <row r="2" customFormat="false" ht="15" hidden="false" customHeight="false" outlineLevel="0" collapsed="false">
      <c r="A2" s="15" t="n">
        <v>1</v>
      </c>
      <c r="B2" s="2" t="s">
        <v>325</v>
      </c>
      <c r="C2" s="13" t="n">
        <f aca="false">0</f>
        <v>0</v>
      </c>
      <c r="D2" s="13" t="n">
        <f aca="false">x5_new</f>
        <v>7</v>
      </c>
      <c r="E2" s="13" t="n">
        <f aca="false">C2*x5_churn</f>
        <v>0</v>
      </c>
      <c r="F2" s="13" t="n">
        <f aca="false">C2-E2+D2</f>
        <v>7</v>
      </c>
      <c r="G2" s="13" t="n">
        <f aca="false">F2*x5_usage</f>
        <v>11.9</v>
      </c>
      <c r="H2" s="16" t="n">
        <f aca="false">F2*x5_arpa</f>
        <v>1619.45</v>
      </c>
      <c r="I2" s="16" t="n">
        <f aca="false">F2*x5_cogs_pa</f>
        <v>243.8072</v>
      </c>
      <c r="J2" s="16" t="n">
        <f aca="false">F2*x5_ov</f>
        <v>97.167</v>
      </c>
      <c r="K2" s="16" t="n">
        <f aca="false">H2-I2-J2</f>
        <v>1278.4758</v>
      </c>
      <c r="L2" s="16" t="n">
        <f aca="false">x5_fixed</f>
        <v>9000</v>
      </c>
      <c r="M2" s="16" t="n">
        <f aca="false">K2-L2</f>
        <v>-7721.5242</v>
      </c>
      <c r="N2" s="16" t="n">
        <f aca="false">x5_spend</f>
        <v>3400</v>
      </c>
      <c r="O2" s="16" t="n">
        <f aca="false">M2-N2</f>
        <v>-11121.5242</v>
      </c>
      <c r="P2" s="16" t="n">
        <f aca="false">O2</f>
        <v>-11121.5242</v>
      </c>
      <c r="Q2" s="15" t="n">
        <f aca="false">IF(K2&gt;=L2-0.000000001,A2,99)</f>
        <v>99</v>
      </c>
      <c r="R2" s="15" t="n">
        <f aca="false">IF(K2&gt;=L2+N2-0.000000001,A2,99)</f>
        <v>99</v>
      </c>
      <c r="T2" s="17" t="n">
        <f aca="false">x5_be_p</f>
        <v>49.2774286380704</v>
      </c>
      <c r="U2" s="17" t="n">
        <f aca="false">x5_be_o</f>
        <v>67.8933461235637</v>
      </c>
    </row>
    <row r="3" customFormat="false" ht="15" hidden="false" customHeight="false" outlineLevel="0" collapsed="false">
      <c r="A3" s="15" t="n">
        <v>2</v>
      </c>
      <c r="B3" s="2" t="s">
        <v>326</v>
      </c>
      <c r="C3" s="13" t="n">
        <f aca="false">F2</f>
        <v>7</v>
      </c>
      <c r="D3" s="13" t="n">
        <f aca="false">x5_new</f>
        <v>7</v>
      </c>
      <c r="E3" s="13" t="n">
        <f aca="false">C3*x5_churn</f>
        <v>0.21</v>
      </c>
      <c r="F3" s="13" t="n">
        <f aca="false">C3-E3+D3</f>
        <v>13.79</v>
      </c>
      <c r="G3" s="13" t="n">
        <f aca="false">F3*x5_usage</f>
        <v>23.443</v>
      </c>
      <c r="H3" s="16" t="n">
        <f aca="false">F3*x5_arpa</f>
        <v>3190.3165</v>
      </c>
      <c r="I3" s="16" t="n">
        <f aca="false">F3*x5_cogs_pa</f>
        <v>480.300184</v>
      </c>
      <c r="J3" s="16" t="n">
        <f aca="false">F3*x5_ov</f>
        <v>191.41899</v>
      </c>
      <c r="K3" s="16" t="n">
        <f aca="false">H3-I3-J3</f>
        <v>2518.597326</v>
      </c>
      <c r="L3" s="16" t="n">
        <f aca="false">x5_fixed</f>
        <v>9000</v>
      </c>
      <c r="M3" s="16" t="n">
        <f aca="false">K3-L3</f>
        <v>-6481.402674</v>
      </c>
      <c r="N3" s="16" t="n">
        <f aca="false">x5_spend</f>
        <v>3400</v>
      </c>
      <c r="O3" s="16" t="n">
        <f aca="false">M3-N3</f>
        <v>-9881.402674</v>
      </c>
      <c r="P3" s="16" t="n">
        <f aca="false">P2+O3</f>
        <v>-21002.926874</v>
      </c>
      <c r="Q3" s="15" t="n">
        <f aca="false">IF(K3&gt;=L3-0.000000001,A3,99)</f>
        <v>99</v>
      </c>
      <c r="R3" s="15" t="n">
        <f aca="false">IF(K3&gt;=L3+N3-0.000000001,A3,99)</f>
        <v>99</v>
      </c>
      <c r="T3" s="17" t="n">
        <f aca="false">x5_be_p</f>
        <v>49.2774286380704</v>
      </c>
      <c r="U3" s="17" t="n">
        <f aca="false">x5_be_o</f>
        <v>67.8933461235637</v>
      </c>
    </row>
    <row r="4" customFormat="false" ht="15" hidden="false" customHeight="false" outlineLevel="0" collapsed="false">
      <c r="A4" s="15" t="n">
        <v>3</v>
      </c>
      <c r="B4" s="2" t="s">
        <v>327</v>
      </c>
      <c r="C4" s="13" t="n">
        <f aca="false">F3</f>
        <v>13.79</v>
      </c>
      <c r="D4" s="13" t="n">
        <f aca="false">x5_new</f>
        <v>7</v>
      </c>
      <c r="E4" s="13" t="n">
        <f aca="false">C4*x5_churn</f>
        <v>0.4137</v>
      </c>
      <c r="F4" s="13" t="n">
        <f aca="false">C4-E4+D4</f>
        <v>20.3763</v>
      </c>
      <c r="G4" s="13" t="n">
        <f aca="false">F4*x5_usage</f>
        <v>34.63971</v>
      </c>
      <c r="H4" s="16" t="n">
        <f aca="false">F4*x5_arpa</f>
        <v>4714.057005</v>
      </c>
      <c r="I4" s="16" t="n">
        <f aca="false">F4*x5_cogs_pa</f>
        <v>709.69837848</v>
      </c>
      <c r="J4" s="16" t="n">
        <f aca="false">F4*x5_ov</f>
        <v>282.8434203</v>
      </c>
      <c r="K4" s="16" t="n">
        <f aca="false">H4-I4-J4</f>
        <v>3721.51520622</v>
      </c>
      <c r="L4" s="16" t="n">
        <f aca="false">x5_fixed</f>
        <v>9000</v>
      </c>
      <c r="M4" s="16" t="n">
        <f aca="false">K4-L4</f>
        <v>-5278.48479378</v>
      </c>
      <c r="N4" s="16" t="n">
        <f aca="false">x5_spend</f>
        <v>3400</v>
      </c>
      <c r="O4" s="16" t="n">
        <f aca="false">M4-N4</f>
        <v>-8678.48479378</v>
      </c>
      <c r="P4" s="16" t="n">
        <f aca="false">P3+O4</f>
        <v>-29681.41166778</v>
      </c>
      <c r="Q4" s="15" t="n">
        <f aca="false">IF(K4&gt;=L4-0.000000001,A4,99)</f>
        <v>99</v>
      </c>
      <c r="R4" s="15" t="n">
        <f aca="false">IF(K4&gt;=L4+N4-0.000000001,A4,99)</f>
        <v>99</v>
      </c>
      <c r="T4" s="17" t="n">
        <f aca="false">x5_be_p</f>
        <v>49.2774286380704</v>
      </c>
      <c r="U4" s="17" t="n">
        <f aca="false">x5_be_o</f>
        <v>67.8933461235637</v>
      </c>
    </row>
    <row r="5" customFormat="false" ht="15" hidden="false" customHeight="false" outlineLevel="0" collapsed="false">
      <c r="A5" s="15" t="n">
        <v>4</v>
      </c>
      <c r="B5" s="2" t="s">
        <v>328</v>
      </c>
      <c r="C5" s="13" t="n">
        <f aca="false">F4</f>
        <v>20.3763</v>
      </c>
      <c r="D5" s="13" t="n">
        <f aca="false">x5_new</f>
        <v>7</v>
      </c>
      <c r="E5" s="13" t="n">
        <f aca="false">C5*x5_churn</f>
        <v>0.611289</v>
      </c>
      <c r="F5" s="13" t="n">
        <f aca="false">C5-E5+D5</f>
        <v>26.765011</v>
      </c>
      <c r="G5" s="13" t="n">
        <f aca="false">F5*x5_usage</f>
        <v>45.5005187</v>
      </c>
      <c r="H5" s="16" t="n">
        <f aca="false">F5*x5_arpa</f>
        <v>6192.08529485</v>
      </c>
      <c r="I5" s="16" t="n">
        <f aca="false">F5*x5_cogs_pa</f>
        <v>932.2146271256</v>
      </c>
      <c r="J5" s="16" t="n">
        <f aca="false">F5*x5_ov</f>
        <v>371.525117691</v>
      </c>
      <c r="K5" s="16" t="n">
        <f aca="false">H5-I5-J5</f>
        <v>4888.3455500334</v>
      </c>
      <c r="L5" s="16" t="n">
        <f aca="false">x5_fixed</f>
        <v>9000</v>
      </c>
      <c r="M5" s="16" t="n">
        <f aca="false">K5-L5</f>
        <v>-4111.6544499666</v>
      </c>
      <c r="N5" s="16" t="n">
        <f aca="false">x5_spend</f>
        <v>3400</v>
      </c>
      <c r="O5" s="16" t="n">
        <f aca="false">M5-N5</f>
        <v>-7511.6544499666</v>
      </c>
      <c r="P5" s="16" t="n">
        <f aca="false">P4+O5</f>
        <v>-37193.0661177466</v>
      </c>
      <c r="Q5" s="15" t="n">
        <f aca="false">IF(K5&gt;=L5-0.000000001,A5,99)</f>
        <v>99</v>
      </c>
      <c r="R5" s="15" t="n">
        <f aca="false">IF(K5&gt;=L5+N5-0.000000001,A5,99)</f>
        <v>99</v>
      </c>
      <c r="T5" s="17" t="n">
        <f aca="false">x5_be_p</f>
        <v>49.2774286380704</v>
      </c>
      <c r="U5" s="17" t="n">
        <f aca="false">x5_be_o</f>
        <v>67.8933461235637</v>
      </c>
    </row>
    <row r="6" customFormat="false" ht="15" hidden="false" customHeight="false" outlineLevel="0" collapsed="false">
      <c r="A6" s="15" t="n">
        <v>5</v>
      </c>
      <c r="B6" s="2" t="s">
        <v>329</v>
      </c>
      <c r="C6" s="13" t="n">
        <f aca="false">F5</f>
        <v>26.765011</v>
      </c>
      <c r="D6" s="13" t="n">
        <f aca="false">x5_new</f>
        <v>7</v>
      </c>
      <c r="E6" s="13" t="n">
        <f aca="false">C6*x5_churn</f>
        <v>0.80295033</v>
      </c>
      <c r="F6" s="13" t="n">
        <f aca="false">C6-E6+D6</f>
        <v>32.96206067</v>
      </c>
      <c r="G6" s="13" t="n">
        <f aca="false">F6*x5_usage</f>
        <v>56.035503139</v>
      </c>
      <c r="H6" s="16" t="n">
        <f aca="false">F6*x5_arpa</f>
        <v>7625.7727360045</v>
      </c>
      <c r="I6" s="16" t="n">
        <f aca="false">F6*x5_cogs_pa</f>
        <v>1148.05538831183</v>
      </c>
      <c r="J6" s="16" t="n">
        <f aca="false">F6*x5_ov</f>
        <v>457.54636416027</v>
      </c>
      <c r="K6" s="16" t="n">
        <f aca="false">H6-I6-J6</f>
        <v>6020.1709835324</v>
      </c>
      <c r="L6" s="16" t="n">
        <f aca="false">x5_fixed</f>
        <v>9000</v>
      </c>
      <c r="M6" s="16" t="n">
        <f aca="false">K6-L6</f>
        <v>-2979.8290164676</v>
      </c>
      <c r="N6" s="16" t="n">
        <f aca="false">x5_spend</f>
        <v>3400</v>
      </c>
      <c r="O6" s="16" t="n">
        <f aca="false">M6-N6</f>
        <v>-6379.8290164676</v>
      </c>
      <c r="P6" s="16" t="n">
        <f aca="false">P5+O6</f>
        <v>-43572.8951342142</v>
      </c>
      <c r="Q6" s="15" t="n">
        <f aca="false">IF(K6&gt;=L6-0.000000001,A6,99)</f>
        <v>99</v>
      </c>
      <c r="R6" s="15" t="n">
        <f aca="false">IF(K6&gt;=L6+N6-0.000000001,A6,99)</f>
        <v>99</v>
      </c>
      <c r="T6" s="17" t="n">
        <f aca="false">x5_be_p</f>
        <v>49.2774286380704</v>
      </c>
      <c r="U6" s="17" t="n">
        <f aca="false">x5_be_o</f>
        <v>67.8933461235637</v>
      </c>
    </row>
    <row r="7" customFormat="false" ht="15" hidden="false" customHeight="false" outlineLevel="0" collapsed="false">
      <c r="A7" s="15" t="n">
        <v>6</v>
      </c>
      <c r="B7" s="2" t="s">
        <v>330</v>
      </c>
      <c r="C7" s="13" t="n">
        <f aca="false">F6</f>
        <v>32.96206067</v>
      </c>
      <c r="D7" s="13" t="n">
        <f aca="false">x5_new</f>
        <v>7</v>
      </c>
      <c r="E7" s="13" t="n">
        <f aca="false">C7*x5_churn</f>
        <v>0.9888618201</v>
      </c>
      <c r="F7" s="13" t="n">
        <f aca="false">C7-E7+D7</f>
        <v>38.9731988499</v>
      </c>
      <c r="G7" s="13" t="n">
        <f aca="false">F7*x5_usage</f>
        <v>66.25443804483</v>
      </c>
      <c r="H7" s="16" t="n">
        <f aca="false">F7*x5_arpa</f>
        <v>9016.44955392437</v>
      </c>
      <c r="I7" s="16" t="n">
        <f aca="false">F7*x5_cogs_pa</f>
        <v>1357.42092666248</v>
      </c>
      <c r="J7" s="16" t="n">
        <f aca="false">F7*x5_ov</f>
        <v>540.986973235462</v>
      </c>
      <c r="K7" s="16" t="n">
        <f aca="false">H7-I7-J7</f>
        <v>7118.04165402643</v>
      </c>
      <c r="L7" s="16" t="n">
        <f aca="false">x5_fixed</f>
        <v>9000</v>
      </c>
      <c r="M7" s="16" t="n">
        <f aca="false">K7-L7</f>
        <v>-1881.95834597357</v>
      </c>
      <c r="N7" s="16" t="n">
        <f aca="false">x5_spend</f>
        <v>3400</v>
      </c>
      <c r="O7" s="16" t="n">
        <f aca="false">M7-N7</f>
        <v>-5281.95834597357</v>
      </c>
      <c r="P7" s="16" t="n">
        <f aca="false">P6+O7</f>
        <v>-48854.8534801878</v>
      </c>
      <c r="Q7" s="15" t="n">
        <f aca="false">IF(K7&gt;=L7-0.000000001,A7,99)</f>
        <v>99</v>
      </c>
      <c r="R7" s="15" t="n">
        <f aca="false">IF(K7&gt;=L7+N7-0.000000001,A7,99)</f>
        <v>99</v>
      </c>
      <c r="T7" s="17" t="n">
        <f aca="false">x5_be_p</f>
        <v>49.2774286380704</v>
      </c>
      <c r="U7" s="17" t="n">
        <f aca="false">x5_be_o</f>
        <v>67.8933461235637</v>
      </c>
    </row>
    <row r="8" customFormat="false" ht="15" hidden="false" customHeight="false" outlineLevel="0" collapsed="false">
      <c r="A8" s="15" t="n">
        <v>7</v>
      </c>
      <c r="B8" s="2" t="s">
        <v>331</v>
      </c>
      <c r="C8" s="13" t="n">
        <f aca="false">F7</f>
        <v>38.9731988499</v>
      </c>
      <c r="D8" s="13" t="n">
        <f aca="false">x5_new</f>
        <v>7</v>
      </c>
      <c r="E8" s="13" t="n">
        <f aca="false">C8*x5_churn</f>
        <v>1.169195965497</v>
      </c>
      <c r="F8" s="13" t="n">
        <f aca="false">C8-E8+D8</f>
        <v>44.804002884403</v>
      </c>
      <c r="G8" s="13" t="n">
        <f aca="false">F8*x5_usage</f>
        <v>76.1668049034851</v>
      </c>
      <c r="H8" s="16" t="n">
        <f aca="false">F8*x5_arpa</f>
        <v>10365.4060673066</v>
      </c>
      <c r="I8" s="16" t="n">
        <f aca="false">F8*x5_cogs_pa</f>
        <v>1560.5054988626</v>
      </c>
      <c r="J8" s="16" t="n">
        <f aca="false">F8*x5_ov</f>
        <v>621.924364038398</v>
      </c>
      <c r="K8" s="16" t="n">
        <f aca="false">H8-I8-J8</f>
        <v>8182.97620440563</v>
      </c>
      <c r="L8" s="16" t="n">
        <f aca="false">x5_fixed</f>
        <v>9000</v>
      </c>
      <c r="M8" s="16" t="n">
        <f aca="false">K8-L8</f>
        <v>-817.023795594368</v>
      </c>
      <c r="N8" s="16" t="n">
        <f aca="false">x5_spend</f>
        <v>3400</v>
      </c>
      <c r="O8" s="16" t="n">
        <f aca="false">M8-N8</f>
        <v>-4217.02379559437</v>
      </c>
      <c r="P8" s="16" t="n">
        <f aca="false">P7+O8</f>
        <v>-53071.8772757821</v>
      </c>
      <c r="Q8" s="15" t="n">
        <f aca="false">IF(K8&gt;=L8-0.000000001,A8,99)</f>
        <v>99</v>
      </c>
      <c r="R8" s="15" t="n">
        <f aca="false">IF(K8&gt;=L8+N8-0.000000001,A8,99)</f>
        <v>99</v>
      </c>
      <c r="T8" s="17" t="n">
        <f aca="false">x5_be_p</f>
        <v>49.2774286380704</v>
      </c>
      <c r="U8" s="17" t="n">
        <f aca="false">x5_be_o</f>
        <v>67.8933461235637</v>
      </c>
    </row>
    <row r="9" customFormat="false" ht="15" hidden="false" customHeight="false" outlineLevel="0" collapsed="false">
      <c r="A9" s="15" t="n">
        <v>8</v>
      </c>
      <c r="B9" s="2" t="s">
        <v>332</v>
      </c>
      <c r="C9" s="13" t="n">
        <f aca="false">F8</f>
        <v>44.804002884403</v>
      </c>
      <c r="D9" s="13" t="n">
        <f aca="false">x5_new</f>
        <v>7</v>
      </c>
      <c r="E9" s="13" t="n">
        <f aca="false">C9*x5_churn</f>
        <v>1.34412008653209</v>
      </c>
      <c r="F9" s="13" t="n">
        <f aca="false">C9-E9+D9</f>
        <v>50.4598827978709</v>
      </c>
      <c r="G9" s="13" t="n">
        <f aca="false">F9*x5_usage</f>
        <v>85.7818007563806</v>
      </c>
      <c r="H9" s="16" t="n">
        <f aca="false">F9*x5_arpa</f>
        <v>11673.8938852874</v>
      </c>
      <c r="I9" s="16" t="n">
        <f aca="false">F9*x5_cogs_pa</f>
        <v>1757.49753389673</v>
      </c>
      <c r="J9" s="16" t="n">
        <f aca="false">F9*x5_ov</f>
        <v>700.433633117246</v>
      </c>
      <c r="K9" s="16" t="n">
        <f aca="false">H9-I9-J9</f>
        <v>9215.96271827347</v>
      </c>
      <c r="L9" s="16" t="n">
        <f aca="false">x5_fixed</f>
        <v>9000</v>
      </c>
      <c r="M9" s="16" t="n">
        <f aca="false">K9-L9</f>
        <v>215.962718273466</v>
      </c>
      <c r="N9" s="16" t="n">
        <f aca="false">x5_spend</f>
        <v>3400</v>
      </c>
      <c r="O9" s="16" t="n">
        <f aca="false">M9-N9</f>
        <v>-3184.03728172653</v>
      </c>
      <c r="P9" s="16" t="n">
        <f aca="false">P8+O9</f>
        <v>-56255.9145575087</v>
      </c>
      <c r="Q9" s="15" t="n">
        <f aca="false">IF(K9&gt;=L9-0.000000001,A9,99)</f>
        <v>8</v>
      </c>
      <c r="R9" s="15" t="n">
        <f aca="false">IF(K9&gt;=L9+N9-0.000000001,A9,99)</f>
        <v>99</v>
      </c>
      <c r="T9" s="17" t="n">
        <f aca="false">x5_be_p</f>
        <v>49.2774286380704</v>
      </c>
      <c r="U9" s="17" t="n">
        <f aca="false">x5_be_o</f>
        <v>67.8933461235637</v>
      </c>
    </row>
    <row r="10" customFormat="false" ht="15" hidden="false" customHeight="false" outlineLevel="0" collapsed="false">
      <c r="A10" s="15" t="n">
        <v>9</v>
      </c>
      <c r="B10" s="2" t="s">
        <v>333</v>
      </c>
      <c r="C10" s="13" t="n">
        <f aca="false">F9</f>
        <v>50.4598827978709</v>
      </c>
      <c r="D10" s="13" t="n">
        <f aca="false">x5_new</f>
        <v>7</v>
      </c>
      <c r="E10" s="13" t="n">
        <f aca="false">C10*x5_churn</f>
        <v>1.51379648393613</v>
      </c>
      <c r="F10" s="13" t="n">
        <f aca="false">C10-E10+D10</f>
        <v>55.9460863139348</v>
      </c>
      <c r="G10" s="13" t="n">
        <f aca="false">F10*x5_usage</f>
        <v>95.1083467336892</v>
      </c>
      <c r="H10" s="16" t="n">
        <f aca="false">F10*x5_arpa</f>
        <v>12943.1270687288</v>
      </c>
      <c r="I10" s="16" t="n">
        <f aca="false">F10*x5_cogs_pa</f>
        <v>1948.57980787982</v>
      </c>
      <c r="J10" s="16" t="n">
        <f aca="false">F10*x5_ov</f>
        <v>776.587624123729</v>
      </c>
      <c r="K10" s="16" t="n">
        <f aca="false">H10-I10-J10</f>
        <v>10217.9596367253</v>
      </c>
      <c r="L10" s="16" t="n">
        <f aca="false">x5_fixed</f>
        <v>9000</v>
      </c>
      <c r="M10" s="16" t="n">
        <f aca="false">K10-L10</f>
        <v>1217.95963672526</v>
      </c>
      <c r="N10" s="16" t="n">
        <f aca="false">x5_spend</f>
        <v>3400</v>
      </c>
      <c r="O10" s="16" t="n">
        <f aca="false">M10-N10</f>
        <v>-2182.04036327474</v>
      </c>
      <c r="P10" s="16" t="n">
        <f aca="false">P9+O10</f>
        <v>-58437.9549207834</v>
      </c>
      <c r="Q10" s="15" t="n">
        <f aca="false">IF(K10&gt;=L10-0.000000001,A10,99)</f>
        <v>9</v>
      </c>
      <c r="R10" s="15" t="n">
        <f aca="false">IF(K10&gt;=L10+N10-0.000000001,A10,99)</f>
        <v>99</v>
      </c>
      <c r="T10" s="17" t="n">
        <f aca="false">x5_be_p</f>
        <v>49.2774286380704</v>
      </c>
      <c r="U10" s="17" t="n">
        <f aca="false">x5_be_o</f>
        <v>67.8933461235637</v>
      </c>
    </row>
    <row r="11" customFormat="false" ht="15" hidden="false" customHeight="false" outlineLevel="0" collapsed="false">
      <c r="A11" s="15" t="n">
        <v>10</v>
      </c>
      <c r="B11" s="2" t="s">
        <v>334</v>
      </c>
      <c r="C11" s="13" t="n">
        <f aca="false">F10</f>
        <v>55.9460863139348</v>
      </c>
      <c r="D11" s="13" t="n">
        <f aca="false">x5_new</f>
        <v>7</v>
      </c>
      <c r="E11" s="13" t="n">
        <f aca="false">C11*x5_churn</f>
        <v>1.67838258941804</v>
      </c>
      <c r="F11" s="13" t="n">
        <f aca="false">C11-E11+D11</f>
        <v>61.2677037245168</v>
      </c>
      <c r="G11" s="13" t="n">
        <f aca="false">F11*x5_usage</f>
        <v>104.155096331678</v>
      </c>
      <c r="H11" s="16" t="n">
        <f aca="false">F11*x5_arpa</f>
        <v>14174.283256667</v>
      </c>
      <c r="I11" s="16" t="n">
        <f aca="false">F11*x5_cogs_pa</f>
        <v>2133.92961364343</v>
      </c>
      <c r="J11" s="16" t="n">
        <f aca="false">F11*x5_ov</f>
        <v>850.456995400017</v>
      </c>
      <c r="K11" s="16" t="n">
        <f aca="false">H11-I11-J11</f>
        <v>11189.8966476235</v>
      </c>
      <c r="L11" s="16" t="n">
        <f aca="false">x5_fixed</f>
        <v>9000</v>
      </c>
      <c r="M11" s="16" t="n">
        <f aca="false">K11-L11</f>
        <v>2189.89664762351</v>
      </c>
      <c r="N11" s="16" t="n">
        <f aca="false">x5_spend</f>
        <v>3400</v>
      </c>
      <c r="O11" s="16" t="n">
        <f aca="false">M11-N11</f>
        <v>-1210.10335237649</v>
      </c>
      <c r="P11" s="16" t="n">
        <f aca="false">P10+O11</f>
        <v>-59648.0582731599</v>
      </c>
      <c r="Q11" s="15" t="n">
        <f aca="false">IF(K11&gt;=L11-0.000000001,A11,99)</f>
        <v>10</v>
      </c>
      <c r="R11" s="15" t="n">
        <f aca="false">IF(K11&gt;=L11+N11-0.000000001,A11,99)</f>
        <v>99</v>
      </c>
      <c r="T11" s="17" t="n">
        <f aca="false">x5_be_p</f>
        <v>49.2774286380704</v>
      </c>
      <c r="U11" s="17" t="n">
        <f aca="false">x5_be_o</f>
        <v>67.8933461235637</v>
      </c>
    </row>
    <row r="12" customFormat="false" ht="15" hidden="false" customHeight="false" outlineLevel="0" collapsed="false">
      <c r="A12" s="15" t="n">
        <v>11</v>
      </c>
      <c r="B12" s="2" t="s">
        <v>335</v>
      </c>
      <c r="C12" s="13" t="n">
        <f aca="false">F11</f>
        <v>61.2677037245168</v>
      </c>
      <c r="D12" s="13" t="n">
        <f aca="false">x5_new</f>
        <v>7</v>
      </c>
      <c r="E12" s="13" t="n">
        <f aca="false">C12*x5_churn</f>
        <v>1.8380311117355</v>
      </c>
      <c r="F12" s="13" t="n">
        <f aca="false">C12-E12+D12</f>
        <v>66.4296726127813</v>
      </c>
      <c r="G12" s="13" t="n">
        <f aca="false">F12*x5_usage</f>
        <v>112.930443441728</v>
      </c>
      <c r="H12" s="16" t="n">
        <f aca="false">F12*x5_arpa</f>
        <v>15368.5047589669</v>
      </c>
      <c r="I12" s="16" t="n">
        <f aca="false">F12*x5_cogs_pa</f>
        <v>2313.71892523413</v>
      </c>
      <c r="J12" s="16" t="n">
        <f aca="false">F12*x5_ov</f>
        <v>922.110285538017</v>
      </c>
      <c r="K12" s="16" t="n">
        <f aca="false">H12-I12-J12</f>
        <v>12132.6755481948</v>
      </c>
      <c r="L12" s="16" t="n">
        <f aca="false">x5_fixed</f>
        <v>9000</v>
      </c>
      <c r="M12" s="16" t="n">
        <f aca="false">K12-L12</f>
        <v>3132.6755481948</v>
      </c>
      <c r="N12" s="16" t="n">
        <f aca="false">x5_spend</f>
        <v>3400</v>
      </c>
      <c r="O12" s="16" t="n">
        <f aca="false">M12-N12</f>
        <v>-267.3244518052</v>
      </c>
      <c r="P12" s="16" t="n">
        <f aca="false">P11+O12</f>
        <v>-59915.3827249651</v>
      </c>
      <c r="Q12" s="15" t="n">
        <f aca="false">IF(K12&gt;=L12-0.000000001,A12,99)</f>
        <v>11</v>
      </c>
      <c r="R12" s="15" t="n">
        <f aca="false">IF(K12&gt;=L12+N12-0.000000001,A12,99)</f>
        <v>99</v>
      </c>
      <c r="T12" s="17" t="n">
        <f aca="false">x5_be_p</f>
        <v>49.2774286380704</v>
      </c>
      <c r="U12" s="17" t="n">
        <f aca="false">x5_be_o</f>
        <v>67.8933461235637</v>
      </c>
    </row>
    <row r="13" customFormat="false" ht="15" hidden="false" customHeight="false" outlineLevel="0" collapsed="false">
      <c r="A13" s="15" t="n">
        <v>12</v>
      </c>
      <c r="B13" s="2" t="s">
        <v>336</v>
      </c>
      <c r="C13" s="13" t="n">
        <f aca="false">F12</f>
        <v>66.4296726127813</v>
      </c>
      <c r="D13" s="13" t="n">
        <f aca="false">x5_new</f>
        <v>7</v>
      </c>
      <c r="E13" s="13" t="n">
        <f aca="false">C13*x5_churn</f>
        <v>1.99289017838344</v>
      </c>
      <c r="F13" s="13" t="n">
        <f aca="false">C13-E13+D13</f>
        <v>71.4367824343978</v>
      </c>
      <c r="G13" s="13" t="n">
        <f aca="false">F13*x5_usage</f>
        <v>121.442530138476</v>
      </c>
      <c r="H13" s="16" t="n">
        <f aca="false">F13*x5_arpa</f>
        <v>16526.8996161979</v>
      </c>
      <c r="I13" s="16" t="n">
        <f aca="false">F13*x5_cogs_pa</f>
        <v>2488.1145574771</v>
      </c>
      <c r="J13" s="16" t="n">
        <f aca="false">F13*x5_ov</f>
        <v>991.613976971876</v>
      </c>
      <c r="K13" s="16" t="n">
        <f aca="false">H13-I13-J13</f>
        <v>13047.171081749</v>
      </c>
      <c r="L13" s="16" t="n">
        <f aca="false">x5_fixed</f>
        <v>9000</v>
      </c>
      <c r="M13" s="16" t="n">
        <f aca="false">K13-L13</f>
        <v>4047.17108174896</v>
      </c>
      <c r="N13" s="16" t="n">
        <f aca="false">x5_spend</f>
        <v>3400</v>
      </c>
      <c r="O13" s="16" t="n">
        <f aca="false">M13-N13</f>
        <v>647.171081748957</v>
      </c>
      <c r="P13" s="16" t="n">
        <f aca="false">P12+O13</f>
        <v>-59268.2116432162</v>
      </c>
      <c r="Q13" s="15" t="n">
        <f aca="false">IF(K13&gt;=L13-0.000000001,A13,99)</f>
        <v>12</v>
      </c>
      <c r="R13" s="15" t="n">
        <f aca="false">IF(K13&gt;=L13+N13-0.000000001,A13,99)</f>
        <v>12</v>
      </c>
      <c r="T13" s="17" t="n">
        <f aca="false">x5_be_p</f>
        <v>49.2774286380704</v>
      </c>
      <c r="U13" s="17" t="n">
        <f aca="false">x5_be_o</f>
        <v>67.8933461235637</v>
      </c>
    </row>
    <row r="15" customFormat="false" ht="15" hidden="false" customHeight="true" outlineLevel="0" collapsed="false">
      <c r="A15" s="1" t="s">
        <v>337</v>
      </c>
      <c r="B15" s="1"/>
      <c r="C15" s="1"/>
      <c r="D15" s="1"/>
      <c r="E15" s="1"/>
      <c r="F15" s="18" t="s">
        <v>2</v>
      </c>
    </row>
    <row r="16" customFormat="false" ht="15" hidden="false" customHeight="true" outlineLevel="0" collapsed="false">
      <c r="A16" s="2" t="s">
        <v>302</v>
      </c>
      <c r="B16" s="2"/>
      <c r="C16" s="2"/>
      <c r="D16" s="2"/>
      <c r="E16" s="2"/>
      <c r="F16" s="19" t="n">
        <f aca="false">IF(MIN(Q2:Q13)=99,"не досягнуто",MIN(Q2:Q13))</f>
        <v>8</v>
      </c>
    </row>
    <row r="17" customFormat="false" ht="15" hidden="false" customHeight="true" outlineLevel="0" collapsed="false">
      <c r="A17" s="2" t="s">
        <v>305</v>
      </c>
      <c r="B17" s="2"/>
      <c r="C17" s="2"/>
      <c r="D17" s="2"/>
      <c r="E17" s="2"/>
      <c r="F17" s="19" t="n">
        <f aca="false">IF(MIN(R2:R13)=99,"не досягнуто",MIN(R2:R13))</f>
        <v>12</v>
      </c>
    </row>
    <row r="18" customFormat="false" ht="15" hidden="false" customHeight="true" outlineLevel="0" collapsed="false">
      <c r="A18" s="2" t="s">
        <v>338</v>
      </c>
      <c r="B18" s="2"/>
      <c r="C18" s="2"/>
      <c r="D18" s="2"/>
      <c r="E18" s="2"/>
      <c r="F18" s="20" t="n">
        <f aca="false">F13</f>
        <v>71.4367824343978</v>
      </c>
    </row>
    <row r="19" customFormat="false" ht="15" hidden="false" customHeight="true" outlineLevel="0" collapsed="false">
      <c r="A19" s="2" t="s">
        <v>339</v>
      </c>
      <c r="B19" s="2"/>
      <c r="C19" s="2"/>
      <c r="D19" s="2"/>
      <c r="E19" s="2"/>
      <c r="F19" s="21" t="n">
        <f aca="false">P13</f>
        <v>-59268.2116432162</v>
      </c>
    </row>
    <row r="20" customFormat="false" ht="15" hidden="false" customHeight="true" outlineLevel="0" collapsed="false">
      <c r="A20" s="2" t="s">
        <v>340</v>
      </c>
      <c r="B20" s="2"/>
      <c r="C20" s="2"/>
      <c r="D20" s="2"/>
      <c r="E20" s="2"/>
      <c r="F20" s="22" t="n">
        <f aca="false">3*(x5_fixed+x5_spend)</f>
        <v>37200</v>
      </c>
    </row>
    <row r="21" customFormat="false" ht="15" hidden="false" customHeight="true" outlineLevel="0" collapsed="false">
      <c r="A21" s="2" t="s">
        <v>341</v>
      </c>
      <c r="B21" s="2"/>
      <c r="C21" s="2"/>
      <c r="D21" s="2"/>
      <c r="E21" s="2"/>
      <c r="F21" s="22" t="n">
        <v>145470.689655172</v>
      </c>
    </row>
    <row r="22" customFormat="false" ht="15" hidden="false" customHeight="true" outlineLevel="0" collapsed="false">
      <c r="A22" s="2" t="s">
        <v>342</v>
      </c>
      <c r="B22" s="2"/>
      <c r="C22" s="2"/>
      <c r="D22" s="2"/>
      <c r="E22" s="2"/>
      <c r="F22" s="22" t="n">
        <f aca="false">F21+F20-F19</f>
        <v>241938.901298389</v>
      </c>
    </row>
  </sheetData>
  <mergeCells count="8">
    <mergeCell ref="A15:E15"/>
    <mergeCell ref="A16:E16"/>
    <mergeCell ref="A17:E17"/>
    <mergeCell ref="A18:E18"/>
    <mergeCell ref="A19:E19"/>
    <mergeCell ref="A20:E20"/>
    <mergeCell ref="A21:E21"/>
    <mergeCell ref="A22:E2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343</v>
      </c>
      <c r="B1" s="1" t="s">
        <v>344</v>
      </c>
      <c r="C1" s="1" t="s">
        <v>345</v>
      </c>
      <c r="D1" s="1" t="s">
        <v>346</v>
      </c>
      <c r="E1" s="1" t="s">
        <v>347</v>
      </c>
    </row>
    <row r="2" customFormat="false" ht="15" hidden="false" customHeight="false" outlineLevel="0" collapsed="false">
      <c r="A2" s="2" t="s">
        <v>348</v>
      </c>
      <c r="B2" s="23" t="n">
        <f aca="false">1-x5_delta</f>
        <v>0.8</v>
      </c>
      <c r="C2" s="23" t="n">
        <v>1</v>
      </c>
      <c r="D2" s="23" t="n">
        <f aca="false">1+x5_delta</f>
        <v>1.2</v>
      </c>
      <c r="E2" s="2" t="s">
        <v>349</v>
      </c>
    </row>
    <row r="3" customFormat="false" ht="15" hidden="false" customHeight="false" outlineLevel="0" collapsed="false">
      <c r="A3" s="24" t="s">
        <v>350</v>
      </c>
      <c r="B3" s="2"/>
      <c r="C3" s="2"/>
      <c r="D3" s="2"/>
      <c r="E3" s="2" t="s">
        <v>351</v>
      </c>
    </row>
    <row r="4" customFormat="false" ht="15" hidden="false" customHeight="false" outlineLevel="0" collapsed="false">
      <c r="A4" s="2" t="s">
        <v>15</v>
      </c>
      <c r="B4" s="8" t="n">
        <f aca="false">x5_churn*B$2</f>
        <v>0.024</v>
      </c>
      <c r="C4" s="8" t="n">
        <f aca="false">x5_churn*C$2</f>
        <v>0.03</v>
      </c>
      <c r="D4" s="8" t="n">
        <f aca="false">x5_churn*D$2</f>
        <v>0.036</v>
      </c>
      <c r="E4" s="2"/>
    </row>
    <row r="5" customFormat="false" ht="15" hidden="false" customHeight="false" outlineLevel="0" collapsed="false">
      <c r="A5" s="2" t="s">
        <v>352</v>
      </c>
      <c r="B5" s="6" t="n">
        <f aca="false">x5_arpa*x5_gm/B4</f>
        <v>8188.35</v>
      </c>
      <c r="C5" s="6" t="n">
        <f aca="false">x5_arpa*x5_gm/C4</f>
        <v>6550.68</v>
      </c>
      <c r="D5" s="6" t="n">
        <f aca="false">x5_arpa*x5_gm/D4</f>
        <v>5458.9</v>
      </c>
      <c r="E5" s="2"/>
    </row>
    <row r="6" customFormat="false" ht="15" hidden="false" customHeight="false" outlineLevel="0" collapsed="false">
      <c r="A6" s="2" t="s">
        <v>235</v>
      </c>
      <c r="B6" s="13" t="n">
        <f aca="false">B5/x5_cac</f>
        <v>16.8583676470588</v>
      </c>
      <c r="C6" s="13" t="n">
        <f aca="false">C5/x5_cac</f>
        <v>13.4866941176471</v>
      </c>
      <c r="D6" s="13" t="n">
        <f aca="false">D5/x5_cac</f>
        <v>11.2389117647059</v>
      </c>
      <c r="E6" s="2"/>
    </row>
    <row r="7" customFormat="false" ht="15" hidden="false" customHeight="false" outlineLevel="0" collapsed="false">
      <c r="A7" s="2" t="s">
        <v>353</v>
      </c>
      <c r="B7" s="13" t="n">
        <f aca="false">x5_new/B4</f>
        <v>291.666666666667</v>
      </c>
      <c r="C7" s="13" t="n">
        <f aca="false">x5_new/C4</f>
        <v>233.333333333333</v>
      </c>
      <c r="D7" s="13" t="n">
        <f aca="false">x5_new/D4</f>
        <v>194.444444444444</v>
      </c>
      <c r="E7" s="2"/>
    </row>
    <row r="8" customFormat="false" ht="15" hidden="false" customHeight="false" outlineLevel="0" collapsed="false">
      <c r="A8" s="2" t="s">
        <v>354</v>
      </c>
      <c r="B8" s="10" t="n">
        <f aca="false">IF(x5_be_p&gt;=x5_new/B4,"не досягнуто",IF(ROUNDUP(LN(1-x5_be_p*B4/x5_new)/LN(1-B4)-0.000000001,0)&gt;x5_h,"не досягнуто",ROUNDUP(LN(1-x5_be_p*B4/x5_new)/LN(1-B4)-0.000000001,0)))</f>
        <v>8</v>
      </c>
      <c r="C8" s="10" t="n">
        <f aca="false">IF(x5_be_p&gt;=x5_new/C4,"не досягнуто",IF(ROUNDUP(LN(1-x5_be_p*C4/x5_new)/LN(1-C4)-0.000000001,0)&gt;x5_h,"не досягнуто",ROUNDUP(LN(1-x5_be_p*C4/x5_new)/LN(1-C4)-0.000000001,0)))</f>
        <v>8</v>
      </c>
      <c r="D8" s="10" t="n">
        <f aca="false">IF(x5_be_p&gt;=x5_new/D4,"не досягнуто",IF(ROUNDUP(LN(1-x5_be_p*D4/x5_new)/LN(1-D4)-0.000000001,0)&gt;x5_h,"не досягнуто",ROUNDUP(LN(1-x5_be_p*D4/x5_new)/LN(1-D4)-0.000000001,0)))</f>
        <v>8</v>
      </c>
      <c r="E8" s="2"/>
    </row>
    <row r="9" customFormat="false" ht="15" hidden="false" customHeight="false" outlineLevel="0" collapsed="false">
      <c r="A9" s="2" t="s">
        <v>355</v>
      </c>
      <c r="B9" s="10" t="n">
        <f aca="false">IF(x5_be_o&gt;=x5_new/B4,"не досягнуто",IF(ROUNDUP(LN(1-x5_be_o*B4/x5_new)/LN(1-B4)-0.000000001,0)&gt;x5_h,"не досягнуто",ROUNDUP(LN(1-x5_be_o*B4/x5_new)/LN(1-B4)-0.000000001,0)))</f>
        <v>11</v>
      </c>
      <c r="C9" s="10" t="n">
        <f aca="false">IF(x5_be_o&gt;=x5_new/C4,"не досягнуто",IF(ROUNDUP(LN(1-x5_be_o*C4/x5_new)/LN(1-C4)-0.000000001,0)&gt;x5_h,"не досягнуто",ROUNDUP(LN(1-x5_be_o*C4/x5_new)/LN(1-C4)-0.000000001,0)))</f>
        <v>12</v>
      </c>
      <c r="D9" s="10" t="n">
        <f aca="false">IF(x5_be_o&gt;=x5_new/D4,"не досягнуто",IF(ROUNDUP(LN(1-x5_be_o*D4/x5_new)/LN(1-D4)-0.000000001,0)&gt;x5_h,"не досягнуто",ROUNDUP(LN(1-x5_be_o*D4/x5_new)/LN(1-D4)-0.000000001,0)))</f>
        <v>12</v>
      </c>
      <c r="E9" s="2"/>
    </row>
    <row r="10" customFormat="false" ht="15" hidden="false" customHeight="false" outlineLevel="0" collapsed="false">
      <c r="A10" s="24" t="s">
        <v>356</v>
      </c>
      <c r="B10" s="2"/>
      <c r="C10" s="2"/>
      <c r="D10" s="2"/>
      <c r="E10" s="2" t="s">
        <v>357</v>
      </c>
    </row>
    <row r="11" customFormat="false" ht="15" hidden="false" customHeight="false" outlineLevel="0" collapsed="false">
      <c r="A11" s="2" t="s">
        <v>358</v>
      </c>
      <c r="B11" s="6" t="n">
        <f aca="false">(x5_rev_bu+x5_over)*B$2/x5_clients</f>
        <v>185.08</v>
      </c>
      <c r="C11" s="6" t="n">
        <f aca="false">(x5_rev_bu+x5_over)*C$2/x5_clients</f>
        <v>231.35</v>
      </c>
      <c r="D11" s="6" t="n">
        <f aca="false">(x5_rev_bu+x5_over)*D$2/x5_clients</f>
        <v>277.62</v>
      </c>
      <c r="E11" s="2"/>
    </row>
    <row r="12" customFormat="false" ht="15" hidden="false" customHeight="false" outlineLevel="0" collapsed="false">
      <c r="A12" s="2" t="s">
        <v>200</v>
      </c>
      <c r="B12" s="8" t="n">
        <f aca="false">(B11-x5_cogs_pa)/B11</f>
        <v>0.811813269937324</v>
      </c>
      <c r="C12" s="8" t="n">
        <f aca="false">(C11-x5_cogs_pa)/C11</f>
        <v>0.84945061594986</v>
      </c>
      <c r="D12" s="8" t="n">
        <f aca="false">(D11-x5_cogs_pa)/D11</f>
        <v>0.874542179958216</v>
      </c>
      <c r="E12" s="2"/>
    </row>
    <row r="13" customFormat="false" ht="15" hidden="false" customHeight="false" outlineLevel="0" collapsed="false">
      <c r="A13" s="2" t="s">
        <v>359</v>
      </c>
      <c r="B13" s="6" t="n">
        <f aca="false">B11*(1-x5_ovshare)-x5_cogs_pa</f>
        <v>139.1456</v>
      </c>
      <c r="C13" s="6" t="n">
        <f aca="false">C11*(1-x5_ovshare)-x5_cogs_pa</f>
        <v>182.6394</v>
      </c>
      <c r="D13" s="6" t="n">
        <f aca="false">D11*(1-x5_ovshare)-x5_cogs_pa</f>
        <v>226.1332</v>
      </c>
      <c r="E13" s="2"/>
    </row>
    <row r="14" customFormat="false" ht="15" hidden="false" customHeight="false" outlineLevel="0" collapsed="false">
      <c r="A14" s="2" t="s">
        <v>352</v>
      </c>
      <c r="B14" s="6" t="n">
        <f aca="false">B11*B12/x5_churn</f>
        <v>5008.34666666667</v>
      </c>
      <c r="C14" s="6" t="n">
        <f aca="false">C11*C12/x5_churn</f>
        <v>6550.68</v>
      </c>
      <c r="D14" s="6" t="n">
        <f aca="false">D11*D12/x5_churn</f>
        <v>8093.01333333333</v>
      </c>
      <c r="E14" s="2"/>
    </row>
    <row r="15" customFormat="false" ht="15" hidden="false" customHeight="false" outlineLevel="0" collapsed="false">
      <c r="A15" s="2" t="s">
        <v>235</v>
      </c>
      <c r="B15" s="13" t="n">
        <f aca="false">B14/x5_cac</f>
        <v>10.3113019607843</v>
      </c>
      <c r="C15" s="13" t="n">
        <f aca="false">C14/x5_cac</f>
        <v>13.4866941176471</v>
      </c>
      <c r="D15" s="13" t="n">
        <f aca="false">D14/x5_cac</f>
        <v>16.6620862745098</v>
      </c>
      <c r="E15" s="2"/>
    </row>
    <row r="16" customFormat="false" ht="15" hidden="false" customHeight="false" outlineLevel="0" collapsed="false">
      <c r="A16" s="2" t="s">
        <v>360</v>
      </c>
      <c r="B16" s="13" t="n">
        <f aca="false">x5_fixed/B13</f>
        <v>64.6804498309684</v>
      </c>
      <c r="C16" s="13" t="n">
        <f aca="false">x5_fixed/C13</f>
        <v>49.2774286380704</v>
      </c>
      <c r="D16" s="13" t="n">
        <f aca="false">x5_fixed/D13</f>
        <v>39.7995517686036</v>
      </c>
      <c r="E16" s="2"/>
    </row>
    <row r="17" customFormat="false" ht="15" hidden="false" customHeight="false" outlineLevel="0" collapsed="false">
      <c r="A17" s="2" t="s">
        <v>361</v>
      </c>
      <c r="B17" s="13" t="n">
        <f aca="false">(x5_fixed+x5_spend)/B13</f>
        <v>89.1152864337787</v>
      </c>
      <c r="C17" s="13" t="n">
        <f aca="false">(x5_fixed+x5_spend)/C13</f>
        <v>67.8933461235637</v>
      </c>
      <c r="D17" s="13" t="n">
        <f aca="false">(x5_fixed+x5_spend)/D13</f>
        <v>54.8349379922983</v>
      </c>
      <c r="E17" s="2"/>
    </row>
    <row r="18" customFormat="false" ht="15" hidden="false" customHeight="false" outlineLevel="0" collapsed="false">
      <c r="A18" s="2" t="s">
        <v>354</v>
      </c>
      <c r="B18" s="10" t="n">
        <f aca="false">IF(B16&gt;=x5_new/x5_churn,"не досягнуто",IF(ROUNDUP(LN(1-B16*x5_churn/x5_new)/LN(1-x5_churn)-0.000000001,0)&gt;x5_h,"не досягнуто",ROUNDUP(LN(1-B16*x5_churn/x5_new)/LN(1-x5_churn)-0.000000001,0)))</f>
        <v>11</v>
      </c>
      <c r="C18" s="10" t="n">
        <f aca="false">IF(C16&gt;=x5_new/x5_churn,"не досягнуто",IF(ROUNDUP(LN(1-C16*x5_churn/x5_new)/LN(1-x5_churn)-0.000000001,0)&gt;x5_h,"не досягнуто",ROUNDUP(LN(1-C16*x5_churn/x5_new)/LN(1-x5_churn)-0.000000001,0)))</f>
        <v>8</v>
      </c>
      <c r="D18" s="10" t="n">
        <f aca="false">IF(D16&gt;=x5_new/x5_churn,"не досягнуто",IF(ROUNDUP(LN(1-D16*x5_churn/x5_new)/LN(1-x5_churn)-0.000000001,0)&gt;x5_h,"не досягнуто",ROUNDUP(LN(1-D16*x5_churn/x5_new)/LN(1-x5_churn)-0.000000001,0)))</f>
        <v>7</v>
      </c>
      <c r="E18" s="2"/>
    </row>
    <row r="19" customFormat="false" ht="15" hidden="false" customHeight="false" outlineLevel="0" collapsed="false">
      <c r="A19" s="2" t="s">
        <v>355</v>
      </c>
      <c r="B19" s="10" t="str">
        <f aca="false">IF(B17&gt;=x5_new/x5_churn,"не досягнуто",IF(ROUNDUP(LN(1-B17*x5_churn/x5_new)/LN(1-x5_churn)-0.000000001,0)&gt;x5_h,"не досягнуто",ROUNDUP(LN(1-B17*x5_churn/x5_new)/LN(1-x5_churn)-0.000000001,0)))</f>
        <v>не досягнуто</v>
      </c>
      <c r="C19" s="10" t="n">
        <f aca="false">IF(C17&gt;=x5_new/x5_churn,"не досягнуто",IF(ROUNDUP(LN(1-C17*x5_churn/x5_new)/LN(1-x5_churn)-0.000000001,0)&gt;x5_h,"не досягнуто",ROUNDUP(LN(1-C17*x5_churn/x5_new)/LN(1-x5_churn)-0.000000001,0)))</f>
        <v>12</v>
      </c>
      <c r="D19" s="10" t="n">
        <f aca="false">IF(D17&gt;=x5_new/x5_churn,"не досягнуто",IF(ROUNDUP(LN(1-D17*x5_churn/x5_new)/LN(1-x5_churn)-0.000000001,0)&gt;x5_h,"не досягнуто",ROUNDUP(LN(1-D17*x5_churn/x5_new)/LN(1-x5_churn)-0.000000001,0)))</f>
        <v>9</v>
      </c>
      <c r="E19" s="2"/>
    </row>
    <row r="20" customFormat="false" ht="15" hidden="false" customHeight="false" outlineLevel="0" collapsed="false">
      <c r="A20" s="24" t="s">
        <v>120</v>
      </c>
      <c r="B20" s="2"/>
      <c r="C20" s="2"/>
      <c r="D20" s="2"/>
      <c r="E20" s="2" t="s">
        <v>362</v>
      </c>
    </row>
    <row r="21" customFormat="false" ht="15" hidden="false" customHeight="false" outlineLevel="0" collapsed="false">
      <c r="A21" s="2" t="s">
        <v>174</v>
      </c>
      <c r="B21" s="6" t="n">
        <f aca="false">x5_spend*B$2</f>
        <v>2720</v>
      </c>
      <c r="C21" s="6" t="n">
        <f aca="false">x5_spend*C$2</f>
        <v>3400</v>
      </c>
      <c r="D21" s="6" t="n">
        <f aca="false">x5_spend*D$2</f>
        <v>4080</v>
      </c>
      <c r="E21" s="2"/>
    </row>
    <row r="22" customFormat="false" ht="15" hidden="false" customHeight="false" outlineLevel="0" collapsed="false">
      <c r="A22" s="2" t="s">
        <v>363</v>
      </c>
      <c r="B22" s="6" t="n">
        <f aca="false">B21/x5_new</f>
        <v>388.571428571429</v>
      </c>
      <c r="C22" s="6" t="n">
        <f aca="false">C21/x5_new</f>
        <v>485.714285714286</v>
      </c>
      <c r="D22" s="6" t="n">
        <f aca="false">D21/x5_new</f>
        <v>582.857142857143</v>
      </c>
      <c r="E22" s="2"/>
    </row>
    <row r="23" customFormat="false" ht="15" hidden="false" customHeight="false" outlineLevel="0" collapsed="false">
      <c r="A23" s="2" t="s">
        <v>235</v>
      </c>
      <c r="B23" s="13" t="n">
        <f aca="false">x5_ltv/B22</f>
        <v>16.8583676470588</v>
      </c>
      <c r="C23" s="13" t="n">
        <f aca="false">x5_ltv/C22</f>
        <v>13.4866941176471</v>
      </c>
      <c r="D23" s="13" t="n">
        <f aca="false">x5_ltv/D22</f>
        <v>11.2389117647059</v>
      </c>
      <c r="E23" s="2"/>
    </row>
    <row r="24" customFormat="false" ht="15" hidden="false" customHeight="false" outlineLevel="0" collapsed="false">
      <c r="A24" s="2" t="s">
        <v>364</v>
      </c>
      <c r="B24" s="13" t="n">
        <f aca="false">B22/x5_gp</f>
        <v>1.97725746829046</v>
      </c>
      <c r="C24" s="13" t="n">
        <f aca="false">C22/x5_gp</f>
        <v>2.47157183536308</v>
      </c>
      <c r="D24" s="13" t="n">
        <f aca="false">D22/x5_gp</f>
        <v>2.96588620243569</v>
      </c>
      <c r="E24" s="2"/>
    </row>
    <row r="25" customFormat="false" ht="15" hidden="false" customHeight="false" outlineLevel="0" collapsed="false">
      <c r="A25" s="2" t="s">
        <v>360</v>
      </c>
      <c r="B25" s="13" t="n">
        <f aca="false">x5_fixed/x5_cm</f>
        <v>49.2774286380704</v>
      </c>
      <c r="C25" s="13" t="n">
        <f aca="false">x5_fixed/x5_cm</f>
        <v>49.2774286380704</v>
      </c>
      <c r="D25" s="13" t="n">
        <f aca="false">x5_fixed/x5_cm</f>
        <v>49.2774286380704</v>
      </c>
      <c r="E25" s="2"/>
    </row>
    <row r="26" customFormat="false" ht="15" hidden="false" customHeight="false" outlineLevel="0" collapsed="false">
      <c r="A26" s="2" t="s">
        <v>361</v>
      </c>
      <c r="B26" s="13" t="n">
        <f aca="false">(x5_fixed+B21)/x5_cm</f>
        <v>64.170162626465</v>
      </c>
      <c r="C26" s="13" t="n">
        <f aca="false">(x5_fixed+C21)/x5_cm</f>
        <v>67.8933461235637</v>
      </c>
      <c r="D26" s="13" t="n">
        <f aca="false">(x5_fixed+D21)/x5_cm</f>
        <v>71.6165296206624</v>
      </c>
      <c r="E26" s="2"/>
    </row>
    <row r="27" customFormat="false" ht="15" hidden="false" customHeight="false" outlineLevel="0" collapsed="false">
      <c r="A27" s="2" t="s">
        <v>355</v>
      </c>
      <c r="B27" s="10" t="n">
        <f aca="false">IF(B26&gt;=x5_new/x5_churn,"не досягнуто",IF(ROUNDUP(LN(1-B26*x5_churn/x5_new)/LN(1-x5_churn)-0.000000001,0)&gt;x5_h,"не досягнуто",ROUNDUP(LN(1-B26*x5_churn/x5_new)/LN(1-x5_churn)-0.000000001,0)))</f>
        <v>11</v>
      </c>
      <c r="C27" s="10" t="n">
        <f aca="false">IF(C26&gt;=x5_new/x5_churn,"не досягнуто",IF(ROUNDUP(LN(1-C26*x5_churn/x5_new)/LN(1-x5_churn)-0.000000001,0)&gt;x5_h,"не досягнуто",ROUNDUP(LN(1-C26*x5_churn/x5_new)/LN(1-x5_churn)-0.000000001,0)))</f>
        <v>12</v>
      </c>
      <c r="D27" s="10" t="str">
        <f aca="false">IF(D26&gt;=x5_new/x5_churn,"не досягнуто",IF(ROUNDUP(LN(1-D26*x5_churn/x5_new)/LN(1-x5_churn)-0.000000001,0)&gt;x5_h,"не досягнуто",ROUNDUP(LN(1-D26*x5_churn/x5_new)/LN(1-x5_churn)-0.000000001,0)))</f>
        <v>не досягнуто</v>
      </c>
      <c r="E27" s="2"/>
    </row>
    <row r="29" customFormat="false" ht="15" hidden="false" customHeight="false" outlineLevel="0" collapsed="false">
      <c r="A29" s="0" t="s">
        <v>365</v>
      </c>
    </row>
    <row r="30" customFormat="false" ht="15" hidden="false" customHeight="false" outlineLevel="0" collapsed="false">
      <c r="A30" s="0" t="s">
        <v>366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2026-10-05T19:55:27Z</dcterms:created>
  <dc:creator>openpyxl</dc:creator>
  <dc:description/>
  <dc:language>uk-UA</dc:language>
  <cp:lastModifiedBy/>
  <dcterms:modified xsi:type="dcterms:W3CDTF">2026-10-05T19:55:27Z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