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и ЛР5" sheetId="1" state="visible" r:id="rId1"/>
    <sheet xmlns:r="http://schemas.openxmlformats.org/officeDocument/2006/relationships" name="Журнал припущень ЛР5" sheetId="2" state="visible" r:id="rId2"/>
    <sheet xmlns:r="http://schemas.openxmlformats.org/officeDocument/2006/relationships" name="Воронка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Break-even" sheetId="5" state="visible" r:id="rId5"/>
    <sheet xmlns:r="http://schemas.openxmlformats.org/officeDocument/2006/relationships" name="Прогноз 12 міс." sheetId="6" state="visible" r:id="rId6"/>
    <sheet xmlns:r="http://schemas.openxmlformats.org/officeDocument/2006/relationships" name="Чутливість" sheetId="7" state="visible" r:id="rId7"/>
  </sheets>
  <definedNames>
    <definedName name="x5_spend">'Параметри ЛР5'!$C$2</definedName>
    <definedName name="x5_new">'Параметри ЛР5'!$C$3</definedName>
    <definedName name="x5_churn">'Параметри ЛР5'!$C$4</definedName>
    <definedName name="x5_fixed">'Параметри ЛР5'!$C$5</definedName>
    <definedName name="x5_scale">'Параметри ЛР5'!$C$6</definedName>
    <definedName name="x5_rev">'Параметри ЛР5'!$C$7</definedName>
    <definedName name="x5_rev_bu">'Параметри ЛР5'!$C$8</definedName>
    <definedName name="x5_over">'Параметри ЛР5'!$C$9</definedName>
    <definedName name="x5_cogs">'Параметри ЛР5'!$C$10</definedName>
    <definedName name="x5_clients">'Параметри ЛР5'!$C$11</definedName>
    <definedName name="x5_usage">'Параметри ЛР5'!$C$12</definedName>
    <definedName name="x5_cogs_unit">'Параметри ЛР5'!$C$13</definedName>
    <definedName name="x5_episode">'Параметри ЛР5'!$C$14</definedName>
    <definedName name="x5_disc">'Параметри ЛР5'!$C$15</definedName>
    <definedName name="x5_leads">'Параметри ЛР5'!$C$16</definedName>
    <definedName name="x5_act">'Параметри ЛР5'!$C$17</definedName>
    <definedName name="x5_kept">'Параметри ЛР5'!$C$18</definedName>
    <definedName name="x5_pilot_m">'Параметри ЛР5'!$C$19</definedName>
    <definedName name="x5_check">'Параметри ЛР5'!$C$20</definedName>
    <definedName name="x5_events">'Параметри ЛР5'!$C$21</definedName>
    <definedName name="x5_pay">'Параметри ЛР5'!$C$22</definedName>
    <definedName name="x5_bad">'Параметри ЛР5'!$C$23</definedName>
    <definedName name="x5_partner">'Параметри ЛР5'!$C$24</definedName>
    <definedName name="x5_cap">'Параметри ЛР5'!$C$25</definedName>
    <definedName name="x5_h">'Параметри ЛР5'!$C$26</definedName>
    <definedName name="x5_delta">'Параметри ЛР5'!$C$27</definedName>
    <definedName name="x5_ovshare">'Параметри ЛР5'!$C$29</definedName>
    <definedName name="x5_dm">'Параметри ЛР5'!$C$30</definedName>
    <definedName name="x5_cac">'Unit economics'!$D$2</definedName>
    <definedName name="x5_arpa">'Unit economics'!$D$3</definedName>
    <definedName name="x5_arpu_b">'Unit economics'!$D$4</definedName>
    <definedName name="x5_cogs_pa">'Unit economics'!$D$5</definedName>
    <definedName name="x5_gp">'Unit economics'!$D$6</definedName>
    <definedName name="x5_gm">'Unit economics'!$D$7</definedName>
    <definedName name="x5_ov">'Unit economics'!$D$8</definedName>
    <definedName name="x5_cm">'Unit economics'!$D$9</definedName>
    <definedName name="x5_cmr">'Unit economics'!$D$10</definedName>
    <definedName name="x5_lost_n">'Unit economics'!$D$11</definedName>
    <definedName name="x5_lost">'Unit economics'!$D$12</definedName>
    <definedName name="x5_contr">'Unit economics'!$D$13</definedName>
    <definedName name="x5_exp">'Unit economics'!$D$14</definedName>
    <definedName name="x5_grc">'Unit economics'!$D$15</definedName>
    <definedName name="x5_nrc">'Unit economics'!$D$16</definedName>
    <definedName name="x5_ltv">'Unit economics'!$D$17</definedName>
    <definedName name="x5_ltv_cac">'Unit economics'!$D$18</definedName>
    <definedName name="x5_payback">'Unit economics'!$D$19</definedName>
    <definedName name="x5_life">'Unit economics'!$D$20</definedName>
    <definedName name="x5_ltv_cm">'Unit economics'!$D$21</definedName>
    <definedName name="x5_ltv_rev">'Unit economics'!$D$22</definedName>
    <definedName name="x5_ltv_disc">'Unit economics'!$D$23</definedName>
    <definedName name="x5_ltv_cap">'Unit economics'!$D$24</definedName>
    <definedName name="x5_payback_cm">'Unit economics'!$D$25</definedName>
    <definedName name="x5_be_cm">'Break-even'!$D$2</definedName>
    <definedName name="x5_be_fixed">'Break-even'!$D$3</definedName>
    <definedName name="x5_be_acq">'Break-even'!$D$4</definedName>
    <definedName name="x5_be_p">'Break-even'!$D$5</definedName>
    <definedName name="x5_be_p_int">'Break-even'!$D$6</definedName>
    <definedName name="x5_be_o">'Break-even'!$D$7</definedName>
    <definedName name="x5_be_o_int">'Break-even'!$D$8</definedName>
    <definedName name="x5_be_p_rev">'Break-even'!$D$9</definedName>
    <definedName name="x5_be_o_rev">'Break-even'!$D$10</definedName>
    <definedName name="x5_be_p_b">'Break-even'!$D$11</definedName>
    <definedName name="x5_be_o_b">'Break-even'!$D$12</definedName>
    <definedName name="x5_be_mos">'Break-even'!$D$13</definedName>
    <definedName name="x5_be_steady">'Break-even'!$D$14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%"/>
    <numFmt numFmtId="165" formatCode="0.0%"/>
    <numFmt numFmtId="166" formatCode="0.000%"/>
    <numFmt numFmtId="167" formatCode="#,##0;&quot;−&quot;#,##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dce8f7"/>
      </patternFill>
    </fill>
  </fills>
  <borders count="6">
    <border>
      <left/>
      <right/>
      <top/>
      <bottom/>
      <diagonal/>
    </border>
    <border>
      <left style="thin">
        <color rgb="009a9890"/>
      </left>
      <right style="thin">
        <color rgb="009a9890"/>
      </right>
      <top style="thin">
        <color rgb="009a9890"/>
      </top>
      <bottom style="thin">
        <color rgb="009a9890"/>
      </bottom>
    </border>
    <border>
      <left/>
      <right/>
      <top style="thin">
        <color rgb="009a9890"/>
      </top>
      <bottom/>
      <diagonal/>
    </border>
    <border>
      <left/>
      <right style="thin">
        <color rgb="009a9890"/>
      </right>
      <top style="thin">
        <color rgb="009a9890"/>
      </top>
      <bottom/>
      <diagonal/>
    </border>
    <border>
      <left/>
      <right/>
      <top style="thin">
        <color rgb="009a9890"/>
      </top>
      <bottom style="thin">
        <color rgb="009a9890"/>
      </bottom>
      <diagonal/>
    </border>
    <border>
      <left/>
      <right style="thin">
        <color rgb="009a9890"/>
      </right>
      <top style="thin">
        <color rgb="009a9890"/>
      </top>
      <bottom style="thin">
        <color rgb="009a989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4" fontId="2" fillId="2" borderId="1" applyAlignment="1" pivotButton="0" quotePrefix="0" xfId="0">
      <alignment horizontal="right" vertical="top" wrapText="1"/>
    </xf>
    <xf numFmtId="3" fontId="2" fillId="2" borderId="1" applyAlignment="1" pivotButton="0" quotePrefix="0" xfId="0">
      <alignment horizontal="right" vertical="top" wrapText="1"/>
    </xf>
    <xf numFmtId="10" fontId="2" fillId="2" borderId="1" applyAlignment="1" pivotButton="0" quotePrefix="0" xfId="0">
      <alignment horizontal="right" vertical="top" wrapText="1"/>
    </xf>
    <xf numFmtId="2" fontId="2" fillId="2" borderId="1" applyAlignment="1" pivotButton="0" quotePrefix="0" xfId="0">
      <alignment horizontal="right" vertical="top" wrapText="1"/>
    </xf>
    <xf numFmtId="10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right" vertical="top"/>
    </xf>
    <xf numFmtId="1" fontId="2" fillId="0" borderId="1" applyAlignment="1" pivotButton="0" quotePrefix="0" xfId="0">
      <alignment horizontal="right" vertical="top"/>
    </xf>
    <xf numFmtId="2" fontId="2" fillId="0" borderId="1" applyAlignment="1" pivotButton="0" quotePrefix="0" xfId="0">
      <alignment horizontal="right" vertical="top"/>
    </xf>
    <xf numFmtId="167" fontId="2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9" fontId="2" fillId="2" borderId="1" applyAlignment="1" pivotButton="0" quotePrefix="0" xfId="0">
      <alignment horizontal="right"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Клієнти на кінець місяця і межі break-even</a:t>
            </a:r>
          </a:p>
        </rich>
      </tx>
    </title>
    <plotArea>
      <lineChart>
        <grouping val="standard"/>
        <ser>
          <idx val="0"/>
          <order val="0"/>
          <tx>
            <strRef>
              <f>'Прогноз 12 міс.'!F1</f>
            </strRef>
          </tx>
          <spPr>
            <a:ln xmlns:a="http://schemas.openxmlformats.org/drawingml/2006/main" w="28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'Прогноз 12 міс.'!$A$2:$A$13</f>
            </numRef>
          </cat>
          <val>
            <numRef>
              <f>'Прогноз 12 міс.'!$F$2:$F$13</f>
            </numRef>
          </val>
          <smooth val="0"/>
        </ser>
        <ser>
          <idx val="1"/>
          <order val="1"/>
          <tx>
            <strRef>
              <f>'Прогноз 12 міс.'!T1</f>
            </strRef>
          </tx>
          <spPr>
            <a:ln xmlns:a="http://schemas.openxmlformats.org/drawingml/2006/main" w="280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'Прогноз 12 міс.'!$A$2:$A$13</f>
            </numRef>
          </cat>
          <val>
            <numRef>
              <f>'Прогноз 12 міс.'!$T$2:$T$13</f>
            </numRef>
          </val>
          <smooth val="0"/>
        </ser>
        <ser>
          <idx val="2"/>
          <order val="2"/>
          <tx>
            <strRef>
              <f>'Прогноз 12 міс.'!U1</f>
            </strRef>
          </tx>
          <spPr>
            <a:ln xmlns:a="http://schemas.openxmlformats.org/drawingml/2006/main" w="28000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'Прогноз 12 міс.'!$A$2:$A$13</f>
            </numRef>
          </cat>
          <val>
            <numRef>
              <f>'Прогноз 12 міс.'!$U$2:$U$13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Місяць прогнозу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Активні клієнти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5" customWidth="1" min="4" max="4"/>
    <col width="6" customWidth="1" min="5" max="5"/>
    <col width="30" customWidth="1" min="6" max="6"/>
  </cols>
  <sheetData>
    <row r="1">
      <c r="A1" s="1" t="inlineStr">
        <is>
          <t>Ім'я</t>
        </is>
      </c>
      <c r="B1" s="1" t="inlineStr">
        <is>
          <t>Показник</t>
        </is>
      </c>
      <c r="C1" s="1" t="inlineStr">
        <is>
          <t>Значення</t>
        </is>
      </c>
      <c r="D1" s="1" t="inlineStr">
        <is>
          <t>Одиниця</t>
        </is>
      </c>
      <c r="E1" s="1" t="inlineStr">
        <is>
          <t>Тип</t>
        </is>
      </c>
      <c r="F1" s="1" t="inlineStr">
        <is>
          <t>Підстава</t>
        </is>
      </c>
    </row>
    <row r="2">
      <c r="A2" s="2" t="inlineStr">
        <is>
          <t>x5_spend</t>
        </is>
      </c>
      <c r="B2" s="2" t="inlineStr">
        <is>
          <t>Acquisition spend за місяць</t>
        </is>
      </c>
      <c r="C2" s="3" t="n">
        <v>3400</v>
      </c>
      <c r="D2" s="2" t="inlineStr">
        <is>
          <t>EUR/міс.</t>
        </is>
      </c>
      <c r="E2" s="2" t="inlineStr">
        <is>
          <t>Д</t>
        </is>
      </c>
      <c r="F2" s="2" t="inlineStr">
        <is>
          <t>варіант 14, ЛР № 5</t>
        </is>
      </c>
    </row>
    <row r="3">
      <c r="A3" s="2" t="inlineStr">
        <is>
          <t>x5_new</t>
        </is>
      </c>
      <c r="B3" s="2" t="inlineStr">
        <is>
          <t>Нові платні клієнти за місяць</t>
        </is>
      </c>
      <c r="C3" s="4" t="n">
        <v>7</v>
      </c>
      <c r="D3" s="2" t="inlineStr">
        <is>
          <t>клієнтів/міс.</t>
        </is>
      </c>
      <c r="E3" s="2" t="inlineStr">
        <is>
          <t>Д</t>
        </is>
      </c>
      <c r="F3" s="2" t="inlineStr">
        <is>
          <t>варіант 14, ЛР № 5</t>
        </is>
      </c>
    </row>
    <row r="4">
      <c r="A4" s="2" t="inlineStr">
        <is>
          <t>x5_churn</t>
        </is>
      </c>
      <c r="B4" s="2" t="inlineStr">
        <is>
          <t>Monthly logo churn</t>
        </is>
      </c>
      <c r="C4" s="5" t="n">
        <v>0.03</v>
      </c>
      <c r="D4" s="2" t="inlineStr">
        <is>
          <t>частка</t>
        </is>
      </c>
      <c r="E4" s="2" t="inlineStr">
        <is>
          <t>Д</t>
        </is>
      </c>
      <c r="F4" s="2" t="inlineStr">
        <is>
          <t>варіант 14, ЛР № 5</t>
        </is>
      </c>
    </row>
    <row r="5">
      <c r="A5" s="2" t="inlineStr">
        <is>
          <t>x5_fixed</t>
        </is>
      </c>
      <c r="B5" s="2" t="inlineStr">
        <is>
          <t>Fixed product OPEX за місяць</t>
        </is>
      </c>
      <c r="C5" s="3" t="n">
        <v>9000</v>
      </c>
      <c r="D5" s="2" t="inlineStr">
        <is>
          <t>EUR/міс.</t>
        </is>
      </c>
      <c r="E5" s="2" t="inlineStr">
        <is>
          <t>Д</t>
        </is>
      </c>
      <c r="F5" s="2" t="inlineStr">
        <is>
          <t>варіант 14, ЛР № 5</t>
        </is>
      </c>
    </row>
    <row r="6">
      <c r="A6" s="2" t="inlineStr">
        <is>
          <t>x5_scale</t>
        </is>
      </c>
      <c r="B6" s="2" t="inlineStr">
        <is>
          <t>Масштаб Y3, будівель</t>
        </is>
      </c>
      <c r="C6" s="4" t="n">
        <v>85</v>
      </c>
      <c r="D6" s="2" t="inlineStr">
        <is>
          <t>будівель/міс.</t>
        </is>
      </c>
      <c r="E6" s="2" t="inlineStr">
        <is>
          <t>Д</t>
        </is>
      </c>
      <c r="F6" s="2" t="inlineStr">
        <is>
          <t>варіант 14, ЛР № 4 і № 5</t>
        </is>
      </c>
    </row>
    <row r="7">
      <c r="A7" s="2" t="inlineStr">
        <is>
          <t>x5_rev</t>
        </is>
      </c>
      <c r="B7" s="2" t="inlineStr">
        <is>
          <t>Revenue базового місяця Y3</t>
        </is>
      </c>
      <c r="C7" s="3" t="n">
        <v>11567.5</v>
      </c>
      <c r="D7" s="2" t="inlineStr">
        <is>
          <t>EUR/міс.</t>
        </is>
      </c>
      <c r="E7" s="2" t="inlineStr">
        <is>
          <t>Д</t>
        </is>
      </c>
      <c r="F7" s="2" t="inlineStr">
        <is>
          <t>ЛР № 4, сценарій 100%</t>
        </is>
      </c>
    </row>
    <row r="8">
      <c r="A8" s="2" t="inlineStr">
        <is>
          <t>x5_rev_bu</t>
        </is>
      </c>
      <c r="B8" s="2" t="inlineStr">
        <is>
          <t>з неї база і будівлі (без overage)</t>
        </is>
      </c>
      <c r="C8" s="3" t="n">
        <v>11100</v>
      </c>
      <c r="D8" s="2" t="inlineStr">
        <is>
          <t>EUR/міс.</t>
        </is>
      </c>
      <c r="E8" s="2" t="inlineStr">
        <is>
          <t>Д</t>
        </is>
      </c>
      <c r="F8" s="2" t="inlineStr">
        <is>
          <t>ЛР № 4: 2 250 + 8 850</t>
        </is>
      </c>
    </row>
    <row r="9">
      <c r="A9" s="2" t="inlineStr">
        <is>
          <t>x5_over</t>
        </is>
      </c>
      <c r="B9" s="2" t="inlineStr">
        <is>
          <t>з неї overage</t>
        </is>
      </c>
      <c r="C9" s="3" t="n">
        <v>467.5</v>
      </c>
      <c r="D9" s="2" t="inlineStr">
        <is>
          <t>EUR/міс.</t>
        </is>
      </c>
      <c r="E9" s="2" t="inlineStr">
        <is>
          <t>Д</t>
        </is>
      </c>
      <c r="F9" s="2" t="inlineStr">
        <is>
          <t>ЛР № 4: 8,5 буд. × 55</t>
        </is>
      </c>
    </row>
    <row r="10">
      <c r="A10" s="2" t="inlineStr">
        <is>
          <t>x5_cogs</t>
        </is>
      </c>
      <c r="B10" s="2" t="inlineStr">
        <is>
          <t>COGS базового місяця Y3</t>
        </is>
      </c>
      <c r="C10" s="3" t="n">
        <v>1741.48</v>
      </c>
      <c r="D10" s="2" t="inlineStr">
        <is>
          <t>EUR/міс.</t>
        </is>
      </c>
      <c r="E10" s="2" t="inlineStr">
        <is>
          <t>Д</t>
        </is>
      </c>
      <c r="F10" s="2" t="inlineStr">
        <is>
          <t>ЛР № 4, з урахуванням A3</t>
        </is>
      </c>
    </row>
    <row r="11">
      <c r="A11" s="2" t="inlineStr">
        <is>
          <t>x5_clients</t>
        </is>
      </c>
      <c r="B11" s="2" t="inlineStr">
        <is>
          <t>Активні клієнти (акаунти) Y3</t>
        </is>
      </c>
      <c r="C11" s="6" t="n">
        <v>50</v>
      </c>
      <c r="D11" s="2" t="inlineStr">
        <is>
          <t>клієнтів</t>
        </is>
      </c>
      <c r="E11" s="2" t="inlineStr">
        <is>
          <t>Д</t>
        </is>
      </c>
      <c r="F11" s="2" t="inlineStr">
        <is>
          <t>ЛР № 4: 85 / 1,7</t>
        </is>
      </c>
    </row>
    <row r="12">
      <c r="A12" s="2" t="inlineStr">
        <is>
          <t>x5_usage</t>
        </is>
      </c>
      <c r="B12" s="2" t="inlineStr">
        <is>
          <t>Будівель на клієнта</t>
        </is>
      </c>
      <c r="C12" s="6" t="n">
        <v>1.7</v>
      </c>
      <c r="D12" s="2" t="inlineStr">
        <is>
          <t>буд.</t>
        </is>
      </c>
      <c r="E12" s="2" t="inlineStr">
        <is>
          <t>Д</t>
        </is>
      </c>
      <c r="F12" s="2" t="inlineStr">
        <is>
          <t>ЛР № 4, A2</t>
        </is>
      </c>
    </row>
    <row r="13">
      <c r="A13" s="2" t="inlineStr">
        <is>
          <t>x5_cogs_unit</t>
        </is>
      </c>
      <c r="B13" s="2" t="inlineStr">
        <is>
          <t>COGS будівлі</t>
        </is>
      </c>
      <c r="C13" s="3" t="n">
        <v>16</v>
      </c>
      <c r="D13" s="2" t="inlineStr">
        <is>
          <t>EUR/буд./міс.</t>
        </is>
      </c>
      <c r="E13" s="2" t="inlineStr">
        <is>
          <t>Д</t>
        </is>
      </c>
      <c r="F13" s="2" t="inlineStr">
        <is>
          <t>ЛР № 1, ЛР № 4</t>
        </is>
      </c>
    </row>
    <row r="14">
      <c r="A14" s="2" t="inlineStr">
        <is>
          <t>x5_episode</t>
        </is>
      </c>
      <c r="B14" s="2" t="inlineStr">
        <is>
          <t>Епізод нестабільного обліку</t>
        </is>
      </c>
      <c r="C14" s="6" t="n">
        <v>12</v>
      </c>
      <c r="D14" s="2" t="inlineStr">
        <is>
          <t>міс.</t>
        </is>
      </c>
      <c r="E14" s="2" t="inlineStr">
        <is>
          <t>П</t>
        </is>
      </c>
      <c r="F14" s="2" t="inlineStr">
        <is>
          <t>A9 ЛР № 4</t>
        </is>
      </c>
    </row>
    <row r="15">
      <c r="A15" s="2" t="inlineStr">
        <is>
          <t>x5_disc</t>
        </is>
      </c>
      <c r="B15" s="2" t="inlineStr">
        <is>
          <t>Річна ставка дисконтування</t>
        </is>
      </c>
      <c r="C15" s="5" t="n">
        <v>0.1</v>
      </c>
      <c r="D15" s="2" t="inlineStr">
        <is>
          <t>частка</t>
        </is>
      </c>
      <c r="E15" s="2" t="inlineStr">
        <is>
          <t>Д</t>
        </is>
      </c>
      <c r="F15" s="2" t="inlineStr">
        <is>
          <t>ЛР № 3</t>
        </is>
      </c>
    </row>
    <row r="16">
      <c r="A16" s="2" t="inlineStr">
        <is>
          <t>x5_leads</t>
        </is>
      </c>
      <c r="B16" s="2" t="inlineStr">
        <is>
          <t>Кваліфіковані ліди за місяць</t>
        </is>
      </c>
      <c r="C16" s="4" t="n">
        <v>70</v>
      </c>
      <c r="D16" s="2" t="inlineStr">
        <is>
          <t>лідів/міс.</t>
        </is>
      </c>
      <c r="E16" s="2" t="inlineStr">
        <is>
          <t>П</t>
        </is>
      </c>
      <c r="F16" s="2" t="inlineStr">
        <is>
          <t>B1</t>
        </is>
      </c>
    </row>
    <row r="17">
      <c r="A17" s="2" t="inlineStr">
        <is>
          <t>x5_act</t>
        </is>
      </c>
      <c r="B17" s="2" t="inlineStr">
        <is>
          <t>Activation rate: лід у пілот</t>
        </is>
      </c>
      <c r="C17" s="5" t="n">
        <v>0.3</v>
      </c>
      <c r="D17" s="2" t="inlineStr">
        <is>
          <t>частка</t>
        </is>
      </c>
      <c r="E17" s="2" t="inlineStr">
        <is>
          <t>П</t>
        </is>
      </c>
      <c r="F17" s="2" t="inlineStr">
        <is>
          <t>B2, A10 ЛР № 1</t>
        </is>
      </c>
    </row>
    <row r="18">
      <c r="A18" s="2" t="inlineStr">
        <is>
          <t>x5_kept</t>
        </is>
      </c>
      <c r="B18" s="2" t="inlineStr">
        <is>
          <t>Пілоти, активні в 3-му місяці</t>
        </is>
      </c>
      <c r="C18" s="4" t="n">
        <v>14</v>
      </c>
      <c r="D18" s="2" t="inlineStr">
        <is>
          <t>пілотів</t>
        </is>
      </c>
      <c r="E18" s="2" t="inlineStr">
        <is>
          <t>П</t>
        </is>
      </c>
      <c r="F18" s="2" t="inlineStr">
        <is>
          <t>B4</t>
        </is>
      </c>
    </row>
    <row r="19">
      <c r="A19" s="2" t="inlineStr">
        <is>
          <t>x5_pilot_m</t>
        </is>
      </c>
      <c r="B19" s="2" t="inlineStr">
        <is>
          <t>Тривалість пілоту</t>
        </is>
      </c>
      <c r="C19" s="6" t="n">
        <v>3</v>
      </c>
      <c r="D19" s="2" t="inlineStr">
        <is>
          <t>міс.</t>
        </is>
      </c>
      <c r="E19" s="2" t="inlineStr">
        <is>
          <t>П</t>
        </is>
      </c>
      <c r="F19" s="2" t="inlineStr">
        <is>
          <t>A10 ЛР № 1</t>
        </is>
      </c>
    </row>
    <row r="20">
      <c r="A20" s="2" t="inlineStr">
        <is>
          <t>x5_check</t>
        </is>
      </c>
      <c r="B20" s="2" t="inlineStr">
        <is>
          <t>Місяць відсіву пілотів</t>
        </is>
      </c>
      <c r="C20" s="6" t="n">
        <v>1</v>
      </c>
      <c r="D20" s="2" t="inlineStr">
        <is>
          <t>міс.</t>
        </is>
      </c>
      <c r="E20" s="2" t="inlineStr">
        <is>
          <t>П</t>
        </is>
      </c>
      <c r="F20" s="2" t="inlineStr">
        <is>
          <t>B4</t>
        </is>
      </c>
    </row>
    <row r="21">
      <c r="A21" s="2" t="inlineStr">
        <is>
          <t>x5_events</t>
        </is>
      </c>
      <c r="B21" s="2" t="inlineStr">
        <is>
          <t>Події і виїзні демонстрації</t>
        </is>
      </c>
      <c r="C21" s="3" t="n">
        <v>1200</v>
      </c>
      <c r="D21" s="2" t="inlineStr">
        <is>
          <t>EUR/міс.</t>
        </is>
      </c>
      <c r="E21" s="2" t="inlineStr">
        <is>
          <t>П</t>
        </is>
      </c>
      <c r="F21" s="2" t="inlineStr">
        <is>
          <t>B5</t>
        </is>
      </c>
    </row>
    <row r="22">
      <c r="A22" s="2" t="inlineStr">
        <is>
          <t>x5_pay</t>
        </is>
      </c>
      <c r="B22" s="2" t="inlineStr">
        <is>
          <t>Платежі і банк, частка Revenue</t>
        </is>
      </c>
      <c r="C22" s="5" t="n">
        <v>0.015</v>
      </c>
      <c r="D22" s="2" t="inlineStr">
        <is>
          <t>частка</t>
        </is>
      </c>
      <c r="E22" s="2" t="inlineStr">
        <is>
          <t>П</t>
        </is>
      </c>
      <c r="F22" s="2" t="inlineStr">
        <is>
          <t>B3</t>
        </is>
      </c>
    </row>
    <row r="23">
      <c r="A23" s="2" t="inlineStr">
        <is>
          <t>x5_bad</t>
        </is>
      </c>
      <c r="B23" s="2" t="inlineStr">
        <is>
          <t>Резерв боргів, частка Revenue</t>
        </is>
      </c>
      <c r="C23" s="5" t="n">
        <v>0.01</v>
      </c>
      <c r="D23" s="2" t="inlineStr">
        <is>
          <t>частка</t>
        </is>
      </c>
      <c r="E23" s="2" t="inlineStr">
        <is>
          <t>П</t>
        </is>
      </c>
      <c r="F23" s="2" t="inlineStr">
        <is>
          <t>B3</t>
        </is>
      </c>
    </row>
    <row r="24">
      <c r="A24" s="2" t="inlineStr">
        <is>
          <t>x5_partner</t>
        </is>
      </c>
      <c r="B24" s="2" t="inlineStr">
        <is>
          <t>Партнерам, частка Revenue</t>
        </is>
      </c>
      <c r="C24" s="5" t="n">
        <v>0.035</v>
      </c>
      <c r="D24" s="2" t="inlineStr">
        <is>
          <t>частка</t>
        </is>
      </c>
      <c r="E24" s="2" t="inlineStr">
        <is>
          <t>П</t>
        </is>
      </c>
      <c r="F24" s="2" t="inlineStr">
        <is>
          <t>B3: 10% × 35%</t>
        </is>
      </c>
    </row>
    <row r="25">
      <c r="A25" s="2" t="inlineStr">
        <is>
          <t>x5_cap</t>
        </is>
      </c>
      <c r="B25" s="2" t="inlineStr">
        <is>
          <t>Горизонт обмеженого LTV</t>
        </is>
      </c>
      <c r="C25" s="6" t="n">
        <v>36</v>
      </c>
      <c r="D25" s="2" t="inlineStr">
        <is>
          <t>міс.</t>
        </is>
      </c>
      <c r="E25" s="2" t="inlineStr">
        <is>
          <t>П</t>
        </is>
      </c>
      <c r="F25" s="2" t="inlineStr">
        <is>
          <t>3 роки, як TCO3 ЛР № 3</t>
        </is>
      </c>
    </row>
    <row r="26">
      <c r="A26" s="2" t="inlineStr">
        <is>
          <t>x5_h</t>
        </is>
      </c>
      <c r="B26" s="2" t="inlineStr">
        <is>
          <t>Горизонт прогнозу</t>
        </is>
      </c>
      <c r="C26" s="6" t="n">
        <v>12</v>
      </c>
      <c r="D26" s="2" t="inlineStr">
        <is>
          <t>міс.</t>
        </is>
      </c>
      <c r="E26" s="2" t="inlineStr">
        <is>
          <t>Д</t>
        </is>
      </c>
      <c r="F26" s="2" t="inlineStr">
        <is>
          <t>методичка, 3.3</t>
        </is>
      </c>
    </row>
    <row r="27">
      <c r="A27" s="2" t="inlineStr">
        <is>
          <t>x5_delta</t>
        </is>
      </c>
      <c r="B27" s="2" t="inlineStr">
        <is>
          <t>Крок чутливості</t>
        </is>
      </c>
      <c r="C27" s="5" t="n">
        <v>0.2</v>
      </c>
      <c r="D27" s="2" t="inlineStr">
        <is>
          <t>частка</t>
        </is>
      </c>
      <c r="E27" s="2" t="inlineStr">
        <is>
          <t>Д</t>
        </is>
      </c>
      <c r="F27" s="2" t="inlineStr">
        <is>
          <t>методичка, крок 5</t>
        </is>
      </c>
    </row>
    <row r="28">
      <c r="A28" s="2" t="n"/>
      <c r="B28" s="2" t="n"/>
      <c r="C28" s="2" t="n"/>
      <c r="D28" s="2" t="n"/>
      <c r="E28" s="2" t="n"/>
      <c r="F28" s="2" t="n"/>
    </row>
    <row r="29">
      <c r="A29" s="2" t="inlineStr">
        <is>
          <t>x5_ovshare</t>
        </is>
      </c>
      <c r="B29" s="2" t="inlineStr">
        <is>
          <t>Змінні витрати поза COGS, частка</t>
        </is>
      </c>
      <c r="C29" s="7">
        <f>x5_pay+x5_bad+x5_partner</f>
        <v/>
      </c>
      <c r="D29" s="2" t="inlineStr">
        <is>
          <t>частка</t>
        </is>
      </c>
      <c r="E29" s="2" t="inlineStr">
        <is>
          <t>Р</t>
        </is>
      </c>
      <c r="F29" s="2" t="inlineStr">
        <is>
          <t>B3</t>
        </is>
      </c>
    </row>
    <row r="30">
      <c r="A30" s="2" t="inlineStr">
        <is>
          <t>x5_dm</t>
        </is>
      </c>
      <c r="B30" s="2" t="inlineStr">
        <is>
          <t>Місячна ставка дисконтування</t>
        </is>
      </c>
      <c r="C30" s="8">
        <f>(1+x5_disc)^(1/12)-1</f>
        <v/>
      </c>
      <c r="D30" s="2" t="inlineStr">
        <is>
          <t>частка</t>
        </is>
      </c>
      <c r="E30" s="2" t="inlineStr">
        <is>
          <t>Р</t>
        </is>
      </c>
      <c r="F30" s="2" t="inlineStr">
        <is>
          <t>(1 + 0,10)^(1/12) − 1</t>
        </is>
      </c>
    </row>
  </sheetData>
  <pageMargins left="0.3" right="0.3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40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Припущення</t>
        </is>
      </c>
      <c r="C1" s="1" t="inlineStr">
        <is>
          <t>Значення</t>
        </is>
      </c>
      <c r="D1" s="1" t="inlineStr">
        <is>
          <t>Підстава</t>
        </is>
      </c>
      <c r="E1" s="1" t="inlineStr">
        <is>
          <t>Що змінює</t>
        </is>
      </c>
    </row>
    <row r="2">
      <c r="A2" s="2" t="inlineStr">
        <is>
          <t>B1</t>
        </is>
      </c>
      <c r="B2" s="2" t="inlineStr">
        <is>
          <t>Обсяг верхнього рівня воронки</t>
        </is>
      </c>
      <c r="C2" s="2" t="inlineStr">
        <is>
          <t>70 кваліфікованих лідів на місяць (дзвінок з розрахунком економії відбувся)</t>
        </is>
      </c>
      <c r="D2" s="2" t="inlineStr">
        <is>
          <t>П: обов'язкове власне припущення; CPL 3 400 / 70 = 48,57 EUR</t>
        </is>
      </c>
      <c r="E2" s="2" t="inlineStr">
        <is>
          <t>воронка, CPL</t>
        </is>
      </c>
    </row>
    <row r="3">
      <c r="A3" s="2" t="inlineStr">
        <is>
          <t>B2</t>
        </is>
      </c>
      <c r="B3" s="2" t="inlineStr">
        <is>
          <t>Activation rate</t>
        </is>
      </c>
      <c r="C3" s="2" t="inlineStr">
        <is>
          <t>30% лідів запускають безкоштовний пілот 3 міс. на 1 будівлі</t>
        </is>
      </c>
      <c r="D3" s="2" t="inlineStr">
        <is>
          <t>П: обов'язкове власне припущення; поріг A10 ЛР № 1</t>
        </is>
      </c>
      <c r="E3" s="2" t="inlineStr">
        <is>
          <t>воронка</t>
        </is>
      </c>
    </row>
    <row r="4">
      <c r="A4" s="2" t="inlineStr">
        <is>
          <t>B3</t>
        </is>
      </c>
      <c r="B4" s="2" t="inlineStr">
        <is>
          <t>Частка змінних витрат поза COGS</t>
        </is>
      </c>
      <c r="C4" s="2" t="inlineStr">
        <is>
          <t>6% Revenue: платежі 1,5%, резерв боргів 1,0%, партнери 3,5%</t>
        </is>
      </c>
      <c r="D4" s="2" t="inlineStr">
        <is>
          <t>П: обов'язкове власне припущення</t>
        </is>
      </c>
      <c r="E4" s="2" t="inlineStr">
        <is>
          <t>contribution margin, BE</t>
        </is>
      </c>
    </row>
    <row r="5">
      <c r="A5" s="2" t="inlineStr">
        <is>
          <t>B4</t>
        </is>
      </c>
      <c r="B5" s="2" t="inlineStr">
        <is>
          <t>Утримання пілоту</t>
        </is>
      </c>
      <c r="C5" s="2" t="inlineStr">
        <is>
          <t>14 з 21 пілоту активні в 3-му місяці; відсів після першого місячного звіту</t>
        </is>
      </c>
      <c r="D5" s="2" t="inlineStr">
        <is>
          <t>П: 2/3 пілотів</t>
        </is>
      </c>
      <c r="E5" s="2" t="inlineStr">
        <is>
          <t>воронка, витрати пілотів</t>
        </is>
      </c>
    </row>
    <row r="6">
      <c r="A6" s="2" t="inlineStr">
        <is>
          <t>B5</t>
        </is>
      </c>
      <c r="B6" s="2" t="inlineStr">
        <is>
          <t>Склад acquisition spend</t>
        </is>
      </c>
      <c r="C6" s="2" t="inlineStr">
        <is>
          <t>пілоти 49 буд.-міс. × 16 = 784; події і демо 1 200; цифровий маркетинг 1 416 EUR</t>
        </is>
      </c>
      <c r="D6" s="2" t="inlineStr">
        <is>
          <t>П: розподіл суми варіанта</t>
        </is>
      </c>
      <c r="E6" s="2" t="inlineStr">
        <is>
          <t>CAC</t>
        </is>
      </c>
    </row>
    <row r="7">
      <c r="A7" s="2" t="inlineStr">
        <is>
          <t>B6</t>
        </is>
      </c>
      <c r="B7" s="2" t="inlineStr">
        <is>
          <t>Визначення клієнта</t>
        </is>
      </c>
      <c r="C7" s="2" t="inlineStr">
        <is>
          <t>активний: акаунт з оплаченим рахунком і хоча б 1 активною будівлею; новий: перший оплачений рахунок у місяці</t>
        </is>
      </c>
      <c r="D7" s="2" t="inlineStr">
        <is>
          <t>П: одна одиниця для CAC, ARPA, churn, BE</t>
        </is>
      </c>
      <c r="E7" s="2" t="inlineStr">
        <is>
          <t>усі метрики</t>
        </is>
      </c>
    </row>
    <row r="8">
      <c r="A8" s="2" t="inlineStr">
        <is>
          <t>B7</t>
        </is>
      </c>
      <c r="B8" s="2" t="inlineStr">
        <is>
          <t>Revenue churn</t>
        </is>
      </c>
      <c r="C8" s="2" t="inlineStr">
        <is>
          <t>клієнти, що пішли, мають середній ARPA; overage 1/12 епізодів A9 завершується щомісяця і стільки ж починається</t>
        </is>
      </c>
      <c r="D8" s="2" t="inlineStr">
        <is>
          <t>П: стаціонарний стан ЛР № 4</t>
        </is>
      </c>
      <c r="E8" s="2" t="inlineStr">
        <is>
          <t>gross і net revenue churn</t>
        </is>
      </c>
    </row>
    <row r="9">
      <c r="A9" s="2" t="inlineStr">
        <is>
          <t>B8</t>
        </is>
      </c>
      <c r="B9" s="2" t="inlineStr">
        <is>
          <t>Старт прогнозу</t>
        </is>
      </c>
      <c r="C9" s="2" t="inlineStr">
        <is>
          <t>M1 = вересень 2027: пілоти з червня 2027 після релізу 06.05.2027, перші оплати через 3 міс.; база на початку 0</t>
        </is>
      </c>
      <c r="D9" s="2" t="inlineStr">
        <is>
          <t>П</t>
        </is>
      </c>
      <c r="E9" s="2" t="inlineStr">
        <is>
          <t>місяць BE</t>
        </is>
      </c>
    </row>
    <row r="10">
      <c r="A10" s="2" t="inlineStr">
        <is>
          <t>B9</t>
        </is>
      </c>
      <c r="B10" s="2" t="inlineStr">
        <is>
          <t>Сталі параметри прогнозу</t>
        </is>
      </c>
      <c r="C10" s="2" t="inlineStr">
        <is>
          <t>ARPA, COGS на акаунт і mix базового місяця Y3 ЛР № 4; 7 нових і churn 3% щомісяця</t>
        </is>
      </c>
      <c r="D10" s="2" t="inlineStr">
        <is>
          <t>П: спрощення методички</t>
        </is>
      </c>
      <c r="E10" s="2" t="inlineStr">
        <is>
          <t>прогноз 12 міс.</t>
        </is>
      </c>
    </row>
    <row r="11">
      <c r="A11" s="2" t="inlineStr">
        <is>
          <t>B10</t>
        </is>
      </c>
      <c r="B11" s="2" t="inlineStr">
        <is>
          <t>Acquisition spend регулярний</t>
        </is>
      </c>
      <c r="C11" s="2" t="inlineStr">
        <is>
          <t>3 400 EUR щомісяця незалежно від бази клієнтів</t>
        </is>
      </c>
      <c r="D11" s="2" t="inlineStr">
        <is>
          <t>Д: варіант; модель методички 3.3</t>
        </is>
      </c>
      <c r="E11" s="2" t="inlineStr">
        <is>
          <t>operating BE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4" customWidth="1" min="3" max="3"/>
    <col width="11" customWidth="1" min="4" max="4"/>
    <col width="22" customWidth="1" min="5" max="5"/>
  </cols>
  <sheetData>
    <row r="1">
      <c r="A1" s="1" t="inlineStr">
        <is>
          <t>Етап</t>
        </is>
      </c>
      <c r="B1" s="1" t="inlineStr">
        <is>
          <t>Подія</t>
        </is>
      </c>
      <c r="C1" s="1" t="inlineStr">
        <is>
          <t>Кількість за місяць</t>
        </is>
      </c>
      <c r="D1" s="1" t="inlineStr">
        <is>
          <t>Конверсія</t>
        </is>
      </c>
      <c r="E1" s="1" t="inlineStr">
        <is>
          <t>Джерело / припущення</t>
        </is>
      </c>
    </row>
    <row r="2">
      <c r="A2" s="2" t="inlineStr">
        <is>
          <t>Acquisition</t>
        </is>
      </c>
      <c r="B2" s="2" t="inlineStr">
        <is>
          <t>кваліфікований лід: дзвінок з розрахунком економії відбувся</t>
        </is>
      </c>
      <c r="C2" s="9">
        <f>x5_leads</f>
        <v/>
      </c>
      <c r="D2" s="10" t="inlineStr"/>
      <c r="E2" s="2" t="inlineStr">
        <is>
          <t>B1 (П)</t>
        </is>
      </c>
    </row>
    <row r="3">
      <c r="A3" s="2" t="inlineStr">
        <is>
          <t>Activation</t>
        </is>
      </c>
      <c r="B3" s="2" t="inlineStr">
        <is>
          <t>пілот запущено: шлюз передав першу добу 15-хв даних</t>
        </is>
      </c>
      <c r="C3" s="9">
        <f>C2*x5_act</f>
        <v/>
      </c>
      <c r="D3" s="11">
        <f>C3/C2</f>
        <v/>
      </c>
      <c r="E3" s="2" t="inlineStr">
        <is>
          <t>B2 (П), A10 ЛР № 1</t>
        </is>
      </c>
    </row>
    <row r="4">
      <c r="A4" s="2" t="inlineStr">
        <is>
          <t>Retention</t>
        </is>
      </c>
      <c r="B4" s="2" t="inlineStr">
        <is>
          <t>пілот активний у 3-му місяці: реакція на алерт підтверджена</t>
        </is>
      </c>
      <c r="C4" s="9">
        <f>x5_kept</f>
        <v/>
      </c>
      <c r="D4" s="11">
        <f>C4/C3</f>
        <v/>
      </c>
      <c r="E4" s="2" t="inlineStr">
        <is>
          <t>B4 (П)</t>
        </is>
      </c>
    </row>
    <row r="5">
      <c r="A5" s="2" t="inlineStr">
        <is>
          <t>Revenue</t>
        </is>
      </c>
      <c r="B5" s="2" t="inlineStr">
        <is>
          <t>перший оплачений рахунок (новий платний клієнт)</t>
        </is>
      </c>
      <c r="C5" s="9">
        <f>x5_new</f>
        <v/>
      </c>
      <c r="D5" s="11">
        <f>C5/C4</f>
        <v/>
      </c>
      <c r="E5" s="2" t="inlineStr">
        <is>
          <t>Д: варіант 14</t>
        </is>
      </c>
    </row>
    <row r="7">
      <c r="A7" s="1" t="inlineStr">
        <is>
          <t>Показник</t>
        </is>
      </c>
      <c r="B7" s="1" t="inlineStr">
        <is>
          <t>Формула</t>
        </is>
      </c>
      <c r="C7" s="1" t="inlineStr">
        <is>
          <t>Значення</t>
        </is>
      </c>
    </row>
    <row r="8">
      <c r="A8" s="2" t="inlineStr">
        <is>
          <t>Конверсія лід у платного клієнта</t>
        </is>
      </c>
      <c r="B8" s="2" t="inlineStr">
        <is>
          <t>Revenue / Acquisition</t>
        </is>
      </c>
      <c r="C8" s="11">
        <f>C5/C2</f>
        <v/>
      </c>
    </row>
    <row r="9">
      <c r="A9" s="2" t="inlineStr">
        <is>
          <t>Конверсія пілот у платного клієнта</t>
        </is>
      </c>
      <c r="B9" s="2" t="inlineStr">
        <is>
          <t>Revenue / Activation</t>
        </is>
      </c>
      <c r="C9" s="11">
        <f>C5/C3</f>
        <v/>
      </c>
    </row>
    <row r="10">
      <c r="A10" s="2" t="inlineStr">
        <is>
          <t>Будівле-місяці пілотів</t>
        </is>
      </c>
      <c r="B10" s="2" t="inlineStr">
        <is>
          <t>пілоти × 1 + утримані × (3 − 1)</t>
        </is>
      </c>
      <c r="C10" s="9">
        <f>C3*x5_check+C4*(x5_pilot_m-x5_check)</f>
        <v/>
      </c>
    </row>
    <row r="11">
      <c r="A11" s="2" t="inlineStr">
        <is>
          <t>Обслуговування пілотів, EUR</t>
        </is>
      </c>
      <c r="B11" s="2" t="inlineStr">
        <is>
          <t>буд.-міс. × COGS 16</t>
        </is>
      </c>
      <c r="C11" s="12">
        <f>C10*x5_cogs_unit</f>
        <v/>
      </c>
    </row>
    <row r="12">
      <c r="A12" s="2" t="inlineStr">
        <is>
          <t>Події і демонстрації, EUR</t>
        </is>
      </c>
      <c r="B12" s="2" t="inlineStr">
        <is>
          <t>B5</t>
        </is>
      </c>
      <c r="C12" s="12">
        <f>x5_events</f>
        <v/>
      </c>
    </row>
    <row r="13">
      <c r="A13" s="2" t="inlineStr">
        <is>
          <t>Цифровий маркетинг, EUR</t>
        </is>
      </c>
      <c r="B13" s="2" t="inlineStr">
        <is>
          <t>spend − пілоти − події</t>
        </is>
      </c>
      <c r="C13" s="12">
        <f>x5_spend-C11-C12</f>
        <v/>
      </c>
    </row>
    <row r="14">
      <c r="A14" s="2" t="inlineStr">
        <is>
          <t>Acquisition spend, EUR</t>
        </is>
      </c>
      <c r="B14" s="2" t="inlineStr">
        <is>
          <t>сума</t>
        </is>
      </c>
      <c r="C14" s="12">
        <f>C11+C12+C13</f>
        <v/>
      </c>
    </row>
    <row r="15">
      <c r="A15" s="2" t="inlineStr">
        <is>
          <t>CPL, EUR за лід</t>
        </is>
      </c>
      <c r="B15" s="2" t="inlineStr">
        <is>
          <t>spend / ліди</t>
        </is>
      </c>
      <c r="C15" s="12">
        <f>x5_spend/C2</f>
        <v/>
      </c>
    </row>
    <row r="16">
      <c r="A16" s="2" t="inlineStr">
        <is>
          <t>Вартість пілоту, EUR</t>
        </is>
      </c>
      <c r="B16" s="2" t="inlineStr">
        <is>
          <t>spend / пілоти</t>
        </is>
      </c>
      <c r="C16" s="12">
        <f>x5_spend/C3</f>
        <v/>
      </c>
    </row>
  </sheetData>
  <pageMargins left="0.3" right="0.3" top="0.4" bottom="0.4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2" customWidth="1" min="4" max="4"/>
    <col width="24" customWidth="1" min="5" max="5"/>
  </cols>
  <sheetData>
    <row r="1">
      <c r="A1" s="1" t="inlineStr">
        <is>
          <t>Ім'я</t>
        </is>
      </c>
      <c r="B1" s="1" t="inlineStr">
        <is>
          <t>Метрика</t>
        </is>
      </c>
      <c r="C1" s="1" t="inlineStr">
        <is>
          <t>Формула</t>
        </is>
      </c>
      <c r="D1" s="1" t="inlineStr">
        <is>
          <t>Значення</t>
        </is>
      </c>
      <c r="E1" s="1" t="inlineStr">
        <is>
          <t>Період / одиниця</t>
        </is>
      </c>
    </row>
    <row r="2">
      <c r="A2" s="2" t="inlineStr">
        <is>
          <t>x5_cac</t>
        </is>
      </c>
      <c r="B2" s="2" t="inlineStr">
        <is>
          <t>CAC</t>
        </is>
      </c>
      <c r="C2" s="2" t="inlineStr">
        <is>
          <t>acquisition spend / нові платні клієнти</t>
        </is>
      </c>
      <c r="D2" s="12">
        <f>x5_spend/x5_new</f>
        <v/>
      </c>
      <c r="E2" s="2" t="inlineStr">
        <is>
          <t>EUR на нового клієнта, місяць</t>
        </is>
      </c>
    </row>
    <row r="3">
      <c r="A3" s="2" t="inlineStr">
        <is>
          <t>x5_arpa</t>
        </is>
      </c>
      <c r="B3" s="2" t="inlineStr">
        <is>
          <t>ARPA</t>
        </is>
      </c>
      <c r="C3" s="2" t="inlineStr">
        <is>
          <t>Revenue / активні акаунти</t>
        </is>
      </c>
      <c r="D3" s="12">
        <f>x5_rev/x5_clients</f>
        <v/>
      </c>
      <c r="E3" s="2" t="inlineStr">
        <is>
          <t>EUR на акаунт за місяць</t>
        </is>
      </c>
    </row>
    <row r="4">
      <c r="A4" s="2" t="inlineStr">
        <is>
          <t>x5_arpu_b</t>
        </is>
      </c>
      <c r="B4" s="2" t="inlineStr">
        <is>
          <t>Довідково: Revenue на будівлю</t>
        </is>
      </c>
      <c r="C4" s="2" t="inlineStr">
        <is>
          <t>Revenue / будівлі (не змішується з ARPA)</t>
        </is>
      </c>
      <c r="D4" s="12">
        <f>x5_rev/x5_scale</f>
        <v/>
      </c>
      <c r="E4" s="2" t="inlineStr">
        <is>
          <t>EUR на будівлю за місяць</t>
        </is>
      </c>
    </row>
    <row r="5">
      <c r="A5" s="2" t="inlineStr">
        <is>
          <t>x5_cogs_pa</t>
        </is>
      </c>
      <c r="B5" s="2" t="inlineStr">
        <is>
          <t>COGS на акаунт</t>
        </is>
      </c>
      <c r="C5" s="2" t="inlineStr">
        <is>
          <t>COGS / активні акаунти</t>
        </is>
      </c>
      <c r="D5" s="12">
        <f>x5_cogs/x5_clients</f>
        <v/>
      </c>
      <c r="E5" s="2" t="inlineStr">
        <is>
          <t>EUR на акаунт за місяць</t>
        </is>
      </c>
    </row>
    <row r="6">
      <c r="A6" s="2" t="inlineStr">
        <is>
          <t>x5_gp</t>
        </is>
      </c>
      <c r="B6" s="2" t="inlineStr">
        <is>
          <t>Gross profit на акаунт</t>
        </is>
      </c>
      <c r="C6" s="2" t="inlineStr">
        <is>
          <t>ARPA − COGS на акаунт</t>
        </is>
      </c>
      <c r="D6" s="12">
        <f>x5_arpa-x5_cogs_pa</f>
        <v/>
      </c>
      <c r="E6" s="2" t="inlineStr">
        <is>
          <t>EUR на акаунт за місяць</t>
        </is>
      </c>
    </row>
    <row r="7">
      <c r="A7" s="2" t="inlineStr">
        <is>
          <t>x5_gm</t>
        </is>
      </c>
      <c r="B7" s="2" t="inlineStr">
        <is>
          <t>Gross margin</t>
        </is>
      </c>
      <c r="C7" s="2" t="inlineStr">
        <is>
          <t>(Revenue − COGS) / Revenue</t>
        </is>
      </c>
      <c r="D7" s="7">
        <f>(x5_rev-x5_cogs)/x5_rev</f>
        <v/>
      </c>
      <c r="E7" s="2" t="inlineStr">
        <is>
          <t>частка</t>
        </is>
      </c>
    </row>
    <row r="8">
      <c r="A8" s="2" t="inlineStr">
        <is>
          <t>x5_ov</t>
        </is>
      </c>
      <c r="B8" s="2" t="inlineStr">
        <is>
          <t>Інші змінні витрати на акаунт</t>
        </is>
      </c>
      <c r="C8" s="2" t="inlineStr">
        <is>
          <t>ARPA × 6%</t>
        </is>
      </c>
      <c r="D8" s="12">
        <f>x5_arpa*x5_ovshare</f>
        <v/>
      </c>
      <c r="E8" s="2" t="inlineStr">
        <is>
          <t>EUR на акаунт за місяць</t>
        </is>
      </c>
    </row>
    <row r="9">
      <c r="A9" s="2" t="inlineStr">
        <is>
          <t>x5_cm</t>
        </is>
      </c>
      <c r="B9" s="2" t="inlineStr">
        <is>
          <t>Contribution margin на акаунт</t>
        </is>
      </c>
      <c r="C9" s="2" t="inlineStr">
        <is>
          <t>ARPA − COGS − інші змінні</t>
        </is>
      </c>
      <c r="D9" s="12">
        <f>x5_arpa-x5_cogs_pa-x5_ov</f>
        <v/>
      </c>
      <c r="E9" s="2" t="inlineStr">
        <is>
          <t>EUR на акаунт за місяць</t>
        </is>
      </c>
    </row>
    <row r="10">
      <c r="A10" s="2" t="inlineStr">
        <is>
          <t>x5_cmr</t>
        </is>
      </c>
      <c r="B10" s="2" t="inlineStr">
        <is>
          <t>Contribution margin ratio</t>
        </is>
      </c>
      <c r="C10" s="2" t="inlineStr">
        <is>
          <t>CM / ARPA</t>
        </is>
      </c>
      <c r="D10" s="7">
        <f>x5_cm/x5_arpa</f>
        <v/>
      </c>
      <c r="E10" s="2" t="inlineStr">
        <is>
          <t>частка</t>
        </is>
      </c>
    </row>
    <row r="11">
      <c r="A11" s="2" t="inlineStr">
        <is>
          <t>x5_lost_n</t>
        </is>
      </c>
      <c r="B11" s="2" t="inlineStr">
        <is>
          <t>Втрачені клієнти за місяць</t>
        </is>
      </c>
      <c r="C11" s="2" t="inlineStr">
        <is>
          <t>churn × клієнти на початок місяця</t>
        </is>
      </c>
      <c r="D11" s="13">
        <f>x5_churn*x5_clients</f>
        <v/>
      </c>
      <c r="E11" s="2" t="inlineStr">
        <is>
          <t>клієнтів</t>
        </is>
      </c>
    </row>
    <row r="12">
      <c r="A12" s="2" t="inlineStr">
        <is>
          <t>x5_lost</t>
        </is>
      </c>
      <c r="B12" s="2" t="inlineStr">
        <is>
          <t>Втрачений recurring revenue</t>
        </is>
      </c>
      <c r="C12" s="2" t="inlineStr">
        <is>
          <t>churn × MRR на початок (B7)</t>
        </is>
      </c>
      <c r="D12" s="12">
        <f>x5_churn*x5_rev</f>
        <v/>
      </c>
      <c r="E12" s="2" t="inlineStr">
        <is>
          <t>EUR/міс.</t>
        </is>
      </c>
    </row>
    <row r="13">
      <c r="A13" s="2" t="inlineStr">
        <is>
          <t>x5_contr</t>
        </is>
      </c>
      <c r="B13" s="2" t="inlineStr">
        <is>
          <t>Скорочення: завершені епізоди overage</t>
        </is>
      </c>
      <c r="C13" s="2" t="inlineStr">
        <is>
          <t>overage / 12</t>
        </is>
      </c>
      <c r="D13" s="12">
        <f>x5_over/x5_episode</f>
        <v/>
      </c>
      <c r="E13" s="2" t="inlineStr">
        <is>
          <t>EUR/міс.</t>
        </is>
      </c>
    </row>
    <row r="14">
      <c r="A14" s="2" t="inlineStr">
        <is>
          <t>x5_exp</t>
        </is>
      </c>
      <c r="B14" s="2" t="inlineStr">
        <is>
          <t>Expansion: нові епізоди overage</t>
        </is>
      </c>
      <c r="C14" s="2" t="inlineStr">
        <is>
          <t>дорівнює скороченню (B7)</t>
        </is>
      </c>
      <c r="D14" s="12">
        <f>x5_contr</f>
        <v/>
      </c>
      <c r="E14" s="2" t="inlineStr">
        <is>
          <t>EUR/міс.</t>
        </is>
      </c>
    </row>
    <row r="15">
      <c r="A15" s="2" t="inlineStr">
        <is>
          <t>x5_grc</t>
        </is>
      </c>
      <c r="B15" s="2" t="inlineStr">
        <is>
          <t>Gross revenue churn</t>
        </is>
      </c>
      <c r="C15" s="2" t="inlineStr">
        <is>
          <t>(втрачений + скорочений) / MRR</t>
        </is>
      </c>
      <c r="D15" s="14">
        <f>(x5_lost+x5_contr)/x5_rev</f>
        <v/>
      </c>
      <c r="E15" s="2" t="inlineStr">
        <is>
          <t>частка за місяць</t>
        </is>
      </c>
    </row>
    <row r="16">
      <c r="A16" s="2" t="inlineStr">
        <is>
          <t>x5_nrc</t>
        </is>
      </c>
      <c r="B16" s="2" t="inlineStr">
        <is>
          <t>Net revenue churn</t>
        </is>
      </c>
      <c r="C16" s="2" t="inlineStr">
        <is>
          <t>(втрачений + скорочений − expansion) / MRR</t>
        </is>
      </c>
      <c r="D16" s="14">
        <f>(x5_lost+x5_contr-x5_exp)/x5_rev</f>
        <v/>
      </c>
      <c r="E16" s="2" t="inlineStr">
        <is>
          <t>частка за місяць</t>
        </is>
      </c>
    </row>
    <row r="17">
      <c r="A17" s="2" t="inlineStr">
        <is>
          <t>x5_ltv</t>
        </is>
      </c>
      <c r="B17" s="2" t="inlineStr">
        <is>
          <t>Просте LTV</t>
        </is>
      </c>
      <c r="C17" s="2" t="inlineStr">
        <is>
          <t>ARPA × GM / logo churn</t>
        </is>
      </c>
      <c r="D17" s="12">
        <f>x5_arpa*x5_gm/x5_churn</f>
        <v/>
      </c>
      <c r="E17" s="2" t="inlineStr">
        <is>
          <t>EUR на клієнта</t>
        </is>
      </c>
    </row>
    <row r="18">
      <c r="A18" s="2" t="inlineStr">
        <is>
          <t>x5_ltv_cac</t>
        </is>
      </c>
      <c r="B18" s="2" t="inlineStr">
        <is>
          <t>LTV / CAC</t>
        </is>
      </c>
      <c r="C18" s="2" t="inlineStr">
        <is>
          <t>просте LTV / CAC</t>
        </is>
      </c>
      <c r="D18" s="13">
        <f>x5_ltv/x5_cac</f>
        <v/>
      </c>
      <c r="E18" s="2" t="inlineStr">
        <is>
          <t>раз</t>
        </is>
      </c>
    </row>
    <row r="19">
      <c r="A19" s="2" t="inlineStr">
        <is>
          <t>x5_payback</t>
        </is>
      </c>
      <c r="B19" s="2" t="inlineStr">
        <is>
          <t>CAC payback</t>
        </is>
      </c>
      <c r="C19" s="2" t="inlineStr">
        <is>
          <t>CAC / gross profit нового клієнта</t>
        </is>
      </c>
      <c r="D19" s="13">
        <f>x5_cac/x5_gp</f>
        <v/>
      </c>
      <c r="E19" s="2" t="inlineStr">
        <is>
          <t>міс.</t>
        </is>
      </c>
    </row>
    <row r="20">
      <c r="A20" s="2" t="inlineStr">
        <is>
          <t>x5_life</t>
        </is>
      </c>
      <c r="B20" s="2" t="inlineStr">
        <is>
          <t>Середній строк життя клієнта</t>
        </is>
      </c>
      <c r="C20" s="2" t="inlineStr">
        <is>
          <t>1 / churn</t>
        </is>
      </c>
      <c r="D20" s="13">
        <f>1/x5_churn</f>
        <v/>
      </c>
      <c r="E20" s="2" t="inlineStr">
        <is>
          <t>міс.</t>
        </is>
      </c>
    </row>
    <row r="21">
      <c r="A21" s="2" t="inlineStr">
        <is>
          <t>x5_ltv_cm</t>
        </is>
      </c>
      <c r="B21" s="2" t="inlineStr">
        <is>
          <t>LTV за contribution margin</t>
        </is>
      </c>
      <c r="C21" s="2" t="inlineStr">
        <is>
          <t>CM / logo churn</t>
        </is>
      </c>
      <c r="D21" s="12">
        <f>x5_cm/x5_churn</f>
        <v/>
      </c>
      <c r="E21" s="2" t="inlineStr">
        <is>
          <t>EUR на клієнта</t>
        </is>
      </c>
    </row>
    <row r="22">
      <c r="A22" s="2" t="inlineStr">
        <is>
          <t>x5_ltv_rev</t>
        </is>
      </c>
      <c r="B22" s="2" t="inlineStr">
        <is>
          <t>LTV за gross revenue churn</t>
        </is>
      </c>
      <c r="C22" s="2" t="inlineStr">
        <is>
          <t>GP / gross revenue churn</t>
        </is>
      </c>
      <c r="D22" s="12">
        <f>x5_gp/x5_grc</f>
        <v/>
      </c>
      <c r="E22" s="2" t="inlineStr">
        <is>
          <t>EUR на клієнта</t>
        </is>
      </c>
    </row>
    <row r="23">
      <c r="A23" s="2" t="inlineStr">
        <is>
          <t>x5_ltv_disc</t>
        </is>
      </c>
      <c r="B23" s="2" t="inlineStr">
        <is>
          <t>LTV з дисконтуванням 10% річних</t>
        </is>
      </c>
      <c r="C23" s="2" t="inlineStr">
        <is>
          <t>GP × (1 + d) / (churn + d)</t>
        </is>
      </c>
      <c r="D23" s="12">
        <f>x5_gp*(1+x5_dm)/(x5_churn+x5_dm)</f>
        <v/>
      </c>
      <c r="E23" s="2" t="inlineStr">
        <is>
          <t>EUR на клієнта</t>
        </is>
      </c>
    </row>
    <row r="24">
      <c r="A24" s="2" t="inlineStr">
        <is>
          <t>x5_ltv_cap</t>
        </is>
      </c>
      <c r="B24" s="2" t="inlineStr">
        <is>
          <t>LTV за 36 міс.</t>
        </is>
      </c>
      <c r="C24" s="2" t="inlineStr">
        <is>
          <t>GP × (1 − (1 − churn)^36) / churn</t>
        </is>
      </c>
      <c r="D24" s="12">
        <f>x5_gp*(1-(1-x5_churn)^x5_cap)/x5_churn</f>
        <v/>
      </c>
      <c r="E24" s="2" t="inlineStr">
        <is>
          <t>EUR на клієнта</t>
        </is>
      </c>
    </row>
    <row r="25">
      <c r="A25" s="2" t="inlineStr">
        <is>
          <t>x5_payback_cm</t>
        </is>
      </c>
      <c r="B25" s="2" t="inlineStr">
        <is>
          <t>CAC payback за CM</t>
        </is>
      </c>
      <c r="C25" s="2" t="inlineStr">
        <is>
          <t>CAC / CM на акаунт</t>
        </is>
      </c>
      <c r="D25" s="13">
        <f>x5_cac/x5_cm</f>
        <v/>
      </c>
      <c r="E25" s="2" t="inlineStr">
        <is>
          <t>міс.</t>
        </is>
      </c>
    </row>
  </sheetData>
  <pageMargins left="0.3" right="0.3" top="0.4" bottom="0.4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0" customWidth="1" min="3" max="3"/>
    <col width="13" customWidth="1" min="4" max="4"/>
  </cols>
  <sheetData>
    <row r="1">
      <c r="A1" s="1" t="inlineStr">
        <is>
          <t>Ім'я</t>
        </is>
      </c>
      <c r="B1" s="1" t="inlineStr">
        <is>
          <t>Показник</t>
        </is>
      </c>
      <c r="C1" s="1" t="inlineStr">
        <is>
          <t>Формула / припущення</t>
        </is>
      </c>
      <c r="D1" s="1" t="inlineStr">
        <is>
          <t>Результат</t>
        </is>
      </c>
    </row>
    <row r="2">
      <c r="A2" s="2" t="inlineStr">
        <is>
          <t>x5_be_cm</t>
        </is>
      </c>
      <c r="B2" s="2" t="inlineStr">
        <is>
          <t>Contribution margin per unit</t>
        </is>
      </c>
      <c r="C2" s="2" t="inlineStr">
        <is>
          <t>CM на акаунт (одиниця BE: активний клієнт)</t>
        </is>
      </c>
      <c r="D2" s="12">
        <f>x5_cm</f>
        <v/>
      </c>
    </row>
    <row r="3">
      <c r="A3" s="2" t="inlineStr">
        <is>
          <t>x5_be_fixed</t>
        </is>
      </c>
      <c r="B3" s="2" t="inlineStr">
        <is>
          <t>Fixed product OPEX</t>
        </is>
      </c>
      <c r="C3" s="2" t="inlineStr">
        <is>
          <t>варіант 14, EUR на місяць</t>
        </is>
      </c>
      <c r="D3" s="12">
        <f>x5_fixed</f>
        <v/>
      </c>
    </row>
    <row r="4">
      <c r="A4" s="2" t="inlineStr">
        <is>
          <t>x5_be_acq</t>
        </is>
      </c>
      <c r="B4" s="2" t="inlineStr">
        <is>
          <t>Регулярний acquisition spend</t>
        </is>
      </c>
      <c r="C4" s="2" t="inlineStr">
        <is>
          <t>варіант 14, EUR на місяць, B10</t>
        </is>
      </c>
      <c r="D4" s="12">
        <f>x5_spend</f>
        <v/>
      </c>
    </row>
    <row r="5">
      <c r="A5" s="2" t="inlineStr">
        <is>
          <t>x5_be_p</t>
        </is>
      </c>
      <c r="B5" s="2" t="inlineStr">
        <is>
          <t>Product break-even units</t>
        </is>
      </c>
      <c r="C5" s="2" t="inlineStr">
        <is>
          <t>fixed OPEX / CM</t>
        </is>
      </c>
      <c r="D5" s="13">
        <f>x5_be_fixed/x5_be_cm</f>
        <v/>
      </c>
    </row>
    <row r="6">
      <c r="A6" s="2" t="inlineStr">
        <is>
          <t>x5_be_p_int</t>
        </is>
      </c>
      <c r="B6" s="2" t="inlineStr">
        <is>
          <t>Product break-even, цілих клієнтів</t>
        </is>
      </c>
      <c r="C6" s="2" t="inlineStr">
        <is>
          <t>ROUNDUP</t>
        </is>
      </c>
      <c r="D6" s="9">
        <f>ROUNDUP(x5_be_p-1E-9,0)</f>
        <v/>
      </c>
    </row>
    <row r="7">
      <c r="A7" s="2" t="inlineStr">
        <is>
          <t>x5_be_o</t>
        </is>
      </c>
      <c r="B7" s="2" t="inlineStr">
        <is>
          <t>Operating break-even units</t>
        </is>
      </c>
      <c r="C7" s="2" t="inlineStr">
        <is>
          <t>(fixed OPEX + acquisition spend) / CM</t>
        </is>
      </c>
      <c r="D7" s="13">
        <f>(x5_be_fixed+x5_be_acq)/x5_be_cm</f>
        <v/>
      </c>
    </row>
    <row r="8">
      <c r="A8" s="2" t="inlineStr">
        <is>
          <t>x5_be_o_int</t>
        </is>
      </c>
      <c r="B8" s="2" t="inlineStr">
        <is>
          <t>Operating break-even, цілих клієнтів</t>
        </is>
      </c>
      <c r="C8" s="2" t="inlineStr">
        <is>
          <t>ROUNDUP</t>
        </is>
      </c>
      <c r="D8" s="9">
        <f>ROUNDUP(x5_be_o-1E-9,0)</f>
        <v/>
      </c>
    </row>
    <row r="9">
      <c r="A9" s="2" t="inlineStr">
        <is>
          <t>x5_be_p_rev</t>
        </is>
      </c>
      <c r="B9" s="2" t="inlineStr">
        <is>
          <t>Product break-even revenue</t>
        </is>
      </c>
      <c r="C9" s="2" t="inlineStr">
        <is>
          <t>fixed OPEX / CM ratio</t>
        </is>
      </c>
      <c r="D9" s="12">
        <f>x5_be_fixed/x5_cmr</f>
        <v/>
      </c>
    </row>
    <row r="10">
      <c r="A10" s="2" t="inlineStr">
        <is>
          <t>x5_be_o_rev</t>
        </is>
      </c>
      <c r="B10" s="2" t="inlineStr">
        <is>
          <t>Operating break-even revenue</t>
        </is>
      </c>
      <c r="C10" s="2" t="inlineStr">
        <is>
          <t>(fixed OPEX + spend) / CM ratio</t>
        </is>
      </c>
      <c r="D10" s="12">
        <f>(x5_be_fixed+x5_be_acq)/x5_cmr</f>
        <v/>
      </c>
    </row>
    <row r="11">
      <c r="A11" s="2" t="inlineStr">
        <is>
          <t>x5_be_p_b</t>
        </is>
      </c>
      <c r="B11" s="2" t="inlineStr">
        <is>
          <t>Product break-even, будівель</t>
        </is>
      </c>
      <c r="C11" s="2" t="inlineStr">
        <is>
          <t>units × 1,7</t>
        </is>
      </c>
      <c r="D11" s="13">
        <f>x5_be_p*x5_usage</f>
        <v/>
      </c>
    </row>
    <row r="12">
      <c r="A12" s="2" t="inlineStr">
        <is>
          <t>x5_be_o_b</t>
        </is>
      </c>
      <c r="B12" s="2" t="inlineStr">
        <is>
          <t>Operating break-even, будівель</t>
        </is>
      </c>
      <c r="C12" s="2" t="inlineStr">
        <is>
          <t>units × 1,7</t>
        </is>
      </c>
      <c r="D12" s="13">
        <f>x5_be_o*x5_usage</f>
        <v/>
      </c>
    </row>
    <row r="13">
      <c r="A13" s="2" t="inlineStr">
        <is>
          <t>x5_be_mos</t>
        </is>
      </c>
      <c r="B13" s="2" t="inlineStr">
        <is>
          <t>Запас Y3 ЛР № 4 над product BE</t>
        </is>
      </c>
      <c r="C13" s="2" t="inlineStr">
        <is>
          <t>(50 − BE) / 50</t>
        </is>
      </c>
      <c r="D13" s="7">
        <f>(x5_clients-x5_be_p)/x5_clients</f>
        <v/>
      </c>
    </row>
    <row r="14">
      <c r="A14" s="2" t="inlineStr">
        <is>
          <t>x5_be_steady</t>
        </is>
      </c>
      <c r="B14" s="2" t="inlineStr">
        <is>
          <t>Стаціонарна база клієнтів</t>
        </is>
      </c>
      <c r="C14" s="2" t="inlineStr">
        <is>
          <t>нові / churn</t>
        </is>
      </c>
      <c r="D14" s="13">
        <f>x5_new/x5_churn</f>
        <v/>
      </c>
    </row>
    <row r="15">
      <c r="A15" s="2" t="inlineStr">
        <is>
          <t>x5_m_p</t>
        </is>
      </c>
      <c r="B15" s="2" t="inlineStr">
        <is>
          <t>Перший місяць product BE</t>
        </is>
      </c>
      <c r="C15" s="2" t="inlineStr">
        <is>
          <t>аркуш «Прогноз 12 міс.»</t>
        </is>
      </c>
      <c r="D15" s="15">
        <f>'Прогноз 12 міс.'!$F$16</f>
        <v/>
      </c>
    </row>
    <row r="16">
      <c r="A16" s="2" t="inlineStr">
        <is>
          <t>x5_m_o</t>
        </is>
      </c>
      <c r="B16" s="2" t="inlineStr">
        <is>
          <t>Перший місяць operating BE</t>
        </is>
      </c>
      <c r="C16" s="2" t="inlineStr">
        <is>
          <t>аркуш «Прогноз 12 міс.»</t>
        </is>
      </c>
      <c r="D16" s="15">
        <f>'Прогноз 12 міс.'!$F$17</f>
        <v/>
      </c>
    </row>
  </sheetData>
  <pageMargins left="0.3" right="0.3" top="0.4" bottom="0.4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22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6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12" customWidth="1" min="11" max="11"/>
    <col width="9" customWidth="1" min="12" max="12"/>
    <col width="11" customWidth="1" min="13" max="13"/>
    <col width="11" customWidth="1" min="14" max="14"/>
    <col width="11" customWidth="1" min="15" max="15"/>
    <col width="14" customWidth="1" min="16" max="16"/>
    <col width="12.5" customWidth="1" min="17" max="17"/>
    <col width="12.5" customWidth="1" min="18" max="18"/>
    <col width="2" customWidth="1" min="19" max="19"/>
    <col width="10" customWidth="1" min="20" max="20"/>
    <col width="11" customWidth="1" min="21" max="21"/>
  </cols>
  <sheetData>
    <row r="1">
      <c r="A1" s="1" t="inlineStr">
        <is>
          <t>Міс.</t>
        </is>
      </c>
      <c r="B1" s="1" t="inlineStr">
        <is>
          <t>Календарний місяць</t>
        </is>
      </c>
      <c r="C1" s="1" t="inlineStr">
        <is>
          <t>Клієнти на початок</t>
        </is>
      </c>
      <c r="D1" s="1" t="inlineStr">
        <is>
          <t>Нові</t>
        </is>
      </c>
      <c r="E1" s="1" t="inlineStr">
        <is>
          <t>Втрачені</t>
        </is>
      </c>
      <c r="F1" s="1" t="inlineStr">
        <is>
          <t>Клієнти на кінець</t>
        </is>
      </c>
      <c r="G1" s="1" t="inlineStr">
        <is>
          <t>Будівлі</t>
        </is>
      </c>
      <c r="H1" s="1" t="inlineStr">
        <is>
          <t>Revenue</t>
        </is>
      </c>
      <c r="I1" s="1" t="inlineStr">
        <is>
          <t>COGS</t>
        </is>
      </c>
      <c r="J1" s="1" t="inlineStr">
        <is>
          <t>Інші змінні</t>
        </is>
      </c>
      <c r="K1" s="1" t="inlineStr">
        <is>
          <t>Contribution margin</t>
        </is>
      </c>
      <c r="L1" s="1" t="inlineStr">
        <is>
          <t>Fixed OPEX</t>
        </is>
      </c>
      <c r="M1" s="1" t="inlineStr">
        <is>
          <t>Product результат</t>
        </is>
      </c>
      <c r="N1" s="1" t="inlineStr">
        <is>
          <t>Acquisition spend</t>
        </is>
      </c>
      <c r="O1" s="1" t="inlineStr">
        <is>
          <t>Operating результат</t>
        </is>
      </c>
      <c r="P1" s="1" t="inlineStr">
        <is>
          <t>Наростаючий operating</t>
        </is>
      </c>
      <c r="Q1" s="1" t="inlineStr">
        <is>
          <t>Прапорець product</t>
        </is>
      </c>
      <c r="R1" s="1" t="inlineStr">
        <is>
          <t>Прапорець operating</t>
        </is>
      </c>
      <c r="T1" s="1" t="inlineStr">
        <is>
          <t>Product BE</t>
        </is>
      </c>
      <c r="U1" s="1" t="inlineStr">
        <is>
          <t>Operating BE</t>
        </is>
      </c>
    </row>
    <row r="2">
      <c r="A2" s="15" t="n">
        <v>1</v>
      </c>
      <c r="B2" s="2" t="inlineStr">
        <is>
          <t>вер 2027</t>
        </is>
      </c>
      <c r="C2" s="13">
        <f>0</f>
        <v/>
      </c>
      <c r="D2" s="13">
        <f>x5_new</f>
        <v/>
      </c>
      <c r="E2" s="13">
        <f>C2*x5_churn</f>
        <v/>
      </c>
      <c r="F2" s="13">
        <f>C2-E2+D2</f>
        <v/>
      </c>
      <c r="G2" s="13">
        <f>F2*x5_usage</f>
        <v/>
      </c>
      <c r="H2" s="16">
        <f>F2*x5_arpa</f>
        <v/>
      </c>
      <c r="I2" s="16">
        <f>F2*x5_cogs_pa</f>
        <v/>
      </c>
      <c r="J2" s="16">
        <f>F2*x5_ov</f>
        <v/>
      </c>
      <c r="K2" s="16">
        <f>H2-I2-J2</f>
        <v/>
      </c>
      <c r="L2" s="16">
        <f>x5_fixed</f>
        <v/>
      </c>
      <c r="M2" s="16">
        <f>K2-L2</f>
        <v/>
      </c>
      <c r="N2" s="16">
        <f>x5_spend</f>
        <v/>
      </c>
      <c r="O2" s="16">
        <f>M2-N2</f>
        <v/>
      </c>
      <c r="P2" s="16">
        <f>O2</f>
        <v/>
      </c>
      <c r="Q2" s="15">
        <f>IF(K2&gt;=L2-1E-9,A2,99)</f>
        <v/>
      </c>
      <c r="R2" s="15">
        <f>IF(K2&gt;=L2+N2-1E-9,A2,99)</f>
        <v/>
      </c>
      <c r="T2" s="17">
        <f>x5_be_p</f>
        <v/>
      </c>
      <c r="U2" s="17">
        <f>x5_be_o</f>
        <v/>
      </c>
    </row>
    <row r="3">
      <c r="A3" s="15" t="n">
        <v>2</v>
      </c>
      <c r="B3" s="2" t="inlineStr">
        <is>
          <t>жов 2027</t>
        </is>
      </c>
      <c r="C3" s="13">
        <f>F2</f>
        <v/>
      </c>
      <c r="D3" s="13">
        <f>x5_new</f>
        <v/>
      </c>
      <c r="E3" s="13">
        <f>C3*x5_churn</f>
        <v/>
      </c>
      <c r="F3" s="13">
        <f>C3-E3+D3</f>
        <v/>
      </c>
      <c r="G3" s="13">
        <f>F3*x5_usage</f>
        <v/>
      </c>
      <c r="H3" s="16">
        <f>F3*x5_arpa</f>
        <v/>
      </c>
      <c r="I3" s="16">
        <f>F3*x5_cogs_pa</f>
        <v/>
      </c>
      <c r="J3" s="16">
        <f>F3*x5_ov</f>
        <v/>
      </c>
      <c r="K3" s="16">
        <f>H3-I3-J3</f>
        <v/>
      </c>
      <c r="L3" s="16">
        <f>x5_fixed</f>
        <v/>
      </c>
      <c r="M3" s="16">
        <f>K3-L3</f>
        <v/>
      </c>
      <c r="N3" s="16">
        <f>x5_spend</f>
        <v/>
      </c>
      <c r="O3" s="16">
        <f>M3-N3</f>
        <v/>
      </c>
      <c r="P3" s="16">
        <f>P2+O3</f>
        <v/>
      </c>
      <c r="Q3" s="15">
        <f>IF(K3&gt;=L3-1E-9,A3,99)</f>
        <v/>
      </c>
      <c r="R3" s="15">
        <f>IF(K3&gt;=L3+N3-1E-9,A3,99)</f>
        <v/>
      </c>
      <c r="T3" s="17">
        <f>x5_be_p</f>
        <v/>
      </c>
      <c r="U3" s="17">
        <f>x5_be_o</f>
        <v/>
      </c>
    </row>
    <row r="4">
      <c r="A4" s="15" t="n">
        <v>3</v>
      </c>
      <c r="B4" s="2" t="inlineStr">
        <is>
          <t>лис 2027</t>
        </is>
      </c>
      <c r="C4" s="13">
        <f>F3</f>
        <v/>
      </c>
      <c r="D4" s="13">
        <f>x5_new</f>
        <v/>
      </c>
      <c r="E4" s="13">
        <f>C4*x5_churn</f>
        <v/>
      </c>
      <c r="F4" s="13">
        <f>C4-E4+D4</f>
        <v/>
      </c>
      <c r="G4" s="13">
        <f>F4*x5_usage</f>
        <v/>
      </c>
      <c r="H4" s="16">
        <f>F4*x5_arpa</f>
        <v/>
      </c>
      <c r="I4" s="16">
        <f>F4*x5_cogs_pa</f>
        <v/>
      </c>
      <c r="J4" s="16">
        <f>F4*x5_ov</f>
        <v/>
      </c>
      <c r="K4" s="16">
        <f>H4-I4-J4</f>
        <v/>
      </c>
      <c r="L4" s="16">
        <f>x5_fixed</f>
        <v/>
      </c>
      <c r="M4" s="16">
        <f>K4-L4</f>
        <v/>
      </c>
      <c r="N4" s="16">
        <f>x5_spend</f>
        <v/>
      </c>
      <c r="O4" s="16">
        <f>M4-N4</f>
        <v/>
      </c>
      <c r="P4" s="16">
        <f>P3+O4</f>
        <v/>
      </c>
      <c r="Q4" s="15">
        <f>IF(K4&gt;=L4-1E-9,A4,99)</f>
        <v/>
      </c>
      <c r="R4" s="15">
        <f>IF(K4&gt;=L4+N4-1E-9,A4,99)</f>
        <v/>
      </c>
      <c r="T4" s="17">
        <f>x5_be_p</f>
        <v/>
      </c>
      <c r="U4" s="17">
        <f>x5_be_o</f>
        <v/>
      </c>
    </row>
    <row r="5">
      <c r="A5" s="15" t="n">
        <v>4</v>
      </c>
      <c r="B5" s="2" t="inlineStr">
        <is>
          <t>гру 2027</t>
        </is>
      </c>
      <c r="C5" s="13">
        <f>F4</f>
        <v/>
      </c>
      <c r="D5" s="13">
        <f>x5_new</f>
        <v/>
      </c>
      <c r="E5" s="13">
        <f>C5*x5_churn</f>
        <v/>
      </c>
      <c r="F5" s="13">
        <f>C5-E5+D5</f>
        <v/>
      </c>
      <c r="G5" s="13">
        <f>F5*x5_usage</f>
        <v/>
      </c>
      <c r="H5" s="16">
        <f>F5*x5_arpa</f>
        <v/>
      </c>
      <c r="I5" s="16">
        <f>F5*x5_cogs_pa</f>
        <v/>
      </c>
      <c r="J5" s="16">
        <f>F5*x5_ov</f>
        <v/>
      </c>
      <c r="K5" s="16">
        <f>H5-I5-J5</f>
        <v/>
      </c>
      <c r="L5" s="16">
        <f>x5_fixed</f>
        <v/>
      </c>
      <c r="M5" s="16">
        <f>K5-L5</f>
        <v/>
      </c>
      <c r="N5" s="16">
        <f>x5_spend</f>
        <v/>
      </c>
      <c r="O5" s="16">
        <f>M5-N5</f>
        <v/>
      </c>
      <c r="P5" s="16">
        <f>P4+O5</f>
        <v/>
      </c>
      <c r="Q5" s="15">
        <f>IF(K5&gt;=L5-1E-9,A5,99)</f>
        <v/>
      </c>
      <c r="R5" s="15">
        <f>IF(K5&gt;=L5+N5-1E-9,A5,99)</f>
        <v/>
      </c>
      <c r="T5" s="17">
        <f>x5_be_p</f>
        <v/>
      </c>
      <c r="U5" s="17">
        <f>x5_be_o</f>
        <v/>
      </c>
    </row>
    <row r="6">
      <c r="A6" s="15" t="n">
        <v>5</v>
      </c>
      <c r="B6" s="2" t="inlineStr">
        <is>
          <t>січ 2028</t>
        </is>
      </c>
      <c r="C6" s="13">
        <f>F5</f>
        <v/>
      </c>
      <c r="D6" s="13">
        <f>x5_new</f>
        <v/>
      </c>
      <c r="E6" s="13">
        <f>C6*x5_churn</f>
        <v/>
      </c>
      <c r="F6" s="13">
        <f>C6-E6+D6</f>
        <v/>
      </c>
      <c r="G6" s="13">
        <f>F6*x5_usage</f>
        <v/>
      </c>
      <c r="H6" s="16">
        <f>F6*x5_arpa</f>
        <v/>
      </c>
      <c r="I6" s="16">
        <f>F6*x5_cogs_pa</f>
        <v/>
      </c>
      <c r="J6" s="16">
        <f>F6*x5_ov</f>
        <v/>
      </c>
      <c r="K6" s="16">
        <f>H6-I6-J6</f>
        <v/>
      </c>
      <c r="L6" s="16">
        <f>x5_fixed</f>
        <v/>
      </c>
      <c r="M6" s="16">
        <f>K6-L6</f>
        <v/>
      </c>
      <c r="N6" s="16">
        <f>x5_spend</f>
        <v/>
      </c>
      <c r="O6" s="16">
        <f>M6-N6</f>
        <v/>
      </c>
      <c r="P6" s="16">
        <f>P5+O6</f>
        <v/>
      </c>
      <c r="Q6" s="15">
        <f>IF(K6&gt;=L6-1E-9,A6,99)</f>
        <v/>
      </c>
      <c r="R6" s="15">
        <f>IF(K6&gt;=L6+N6-1E-9,A6,99)</f>
        <v/>
      </c>
      <c r="T6" s="17">
        <f>x5_be_p</f>
        <v/>
      </c>
      <c r="U6" s="17">
        <f>x5_be_o</f>
        <v/>
      </c>
    </row>
    <row r="7">
      <c r="A7" s="15" t="n">
        <v>6</v>
      </c>
      <c r="B7" s="2" t="inlineStr">
        <is>
          <t>лют 2028</t>
        </is>
      </c>
      <c r="C7" s="13">
        <f>F6</f>
        <v/>
      </c>
      <c r="D7" s="13">
        <f>x5_new</f>
        <v/>
      </c>
      <c r="E7" s="13">
        <f>C7*x5_churn</f>
        <v/>
      </c>
      <c r="F7" s="13">
        <f>C7-E7+D7</f>
        <v/>
      </c>
      <c r="G7" s="13">
        <f>F7*x5_usage</f>
        <v/>
      </c>
      <c r="H7" s="16">
        <f>F7*x5_arpa</f>
        <v/>
      </c>
      <c r="I7" s="16">
        <f>F7*x5_cogs_pa</f>
        <v/>
      </c>
      <c r="J7" s="16">
        <f>F7*x5_ov</f>
        <v/>
      </c>
      <c r="K7" s="16">
        <f>H7-I7-J7</f>
        <v/>
      </c>
      <c r="L7" s="16">
        <f>x5_fixed</f>
        <v/>
      </c>
      <c r="M7" s="16">
        <f>K7-L7</f>
        <v/>
      </c>
      <c r="N7" s="16">
        <f>x5_spend</f>
        <v/>
      </c>
      <c r="O7" s="16">
        <f>M7-N7</f>
        <v/>
      </c>
      <c r="P7" s="16">
        <f>P6+O7</f>
        <v/>
      </c>
      <c r="Q7" s="15">
        <f>IF(K7&gt;=L7-1E-9,A7,99)</f>
        <v/>
      </c>
      <c r="R7" s="15">
        <f>IF(K7&gt;=L7+N7-1E-9,A7,99)</f>
        <v/>
      </c>
      <c r="T7" s="17">
        <f>x5_be_p</f>
        <v/>
      </c>
      <c r="U7" s="17">
        <f>x5_be_o</f>
        <v/>
      </c>
    </row>
    <row r="8">
      <c r="A8" s="15" t="n">
        <v>7</v>
      </c>
      <c r="B8" s="2" t="inlineStr">
        <is>
          <t>бер 2028</t>
        </is>
      </c>
      <c r="C8" s="13">
        <f>F7</f>
        <v/>
      </c>
      <c r="D8" s="13">
        <f>x5_new</f>
        <v/>
      </c>
      <c r="E8" s="13">
        <f>C8*x5_churn</f>
        <v/>
      </c>
      <c r="F8" s="13">
        <f>C8-E8+D8</f>
        <v/>
      </c>
      <c r="G8" s="13">
        <f>F8*x5_usage</f>
        <v/>
      </c>
      <c r="H8" s="16">
        <f>F8*x5_arpa</f>
        <v/>
      </c>
      <c r="I8" s="16">
        <f>F8*x5_cogs_pa</f>
        <v/>
      </c>
      <c r="J8" s="16">
        <f>F8*x5_ov</f>
        <v/>
      </c>
      <c r="K8" s="16">
        <f>H8-I8-J8</f>
        <v/>
      </c>
      <c r="L8" s="16">
        <f>x5_fixed</f>
        <v/>
      </c>
      <c r="M8" s="16">
        <f>K8-L8</f>
        <v/>
      </c>
      <c r="N8" s="16">
        <f>x5_spend</f>
        <v/>
      </c>
      <c r="O8" s="16">
        <f>M8-N8</f>
        <v/>
      </c>
      <c r="P8" s="16">
        <f>P7+O8</f>
        <v/>
      </c>
      <c r="Q8" s="15">
        <f>IF(K8&gt;=L8-1E-9,A8,99)</f>
        <v/>
      </c>
      <c r="R8" s="15">
        <f>IF(K8&gt;=L8+N8-1E-9,A8,99)</f>
        <v/>
      </c>
      <c r="T8" s="17">
        <f>x5_be_p</f>
        <v/>
      </c>
      <c r="U8" s="17">
        <f>x5_be_o</f>
        <v/>
      </c>
    </row>
    <row r="9">
      <c r="A9" s="15" t="n">
        <v>8</v>
      </c>
      <c r="B9" s="2" t="inlineStr">
        <is>
          <t>кві 2028</t>
        </is>
      </c>
      <c r="C9" s="13">
        <f>F8</f>
        <v/>
      </c>
      <c r="D9" s="13">
        <f>x5_new</f>
        <v/>
      </c>
      <c r="E9" s="13">
        <f>C9*x5_churn</f>
        <v/>
      </c>
      <c r="F9" s="13">
        <f>C9-E9+D9</f>
        <v/>
      </c>
      <c r="G9" s="13">
        <f>F9*x5_usage</f>
        <v/>
      </c>
      <c r="H9" s="16">
        <f>F9*x5_arpa</f>
        <v/>
      </c>
      <c r="I9" s="16">
        <f>F9*x5_cogs_pa</f>
        <v/>
      </c>
      <c r="J9" s="16">
        <f>F9*x5_ov</f>
        <v/>
      </c>
      <c r="K9" s="16">
        <f>H9-I9-J9</f>
        <v/>
      </c>
      <c r="L9" s="16">
        <f>x5_fixed</f>
        <v/>
      </c>
      <c r="M9" s="16">
        <f>K9-L9</f>
        <v/>
      </c>
      <c r="N9" s="16">
        <f>x5_spend</f>
        <v/>
      </c>
      <c r="O9" s="16">
        <f>M9-N9</f>
        <v/>
      </c>
      <c r="P9" s="16">
        <f>P8+O9</f>
        <v/>
      </c>
      <c r="Q9" s="15">
        <f>IF(K9&gt;=L9-1E-9,A9,99)</f>
        <v/>
      </c>
      <c r="R9" s="15">
        <f>IF(K9&gt;=L9+N9-1E-9,A9,99)</f>
        <v/>
      </c>
      <c r="T9" s="17">
        <f>x5_be_p</f>
        <v/>
      </c>
      <c r="U9" s="17">
        <f>x5_be_o</f>
        <v/>
      </c>
    </row>
    <row r="10">
      <c r="A10" s="15" t="n">
        <v>9</v>
      </c>
      <c r="B10" s="2" t="inlineStr">
        <is>
          <t>тра 2028</t>
        </is>
      </c>
      <c r="C10" s="13">
        <f>F9</f>
        <v/>
      </c>
      <c r="D10" s="13">
        <f>x5_new</f>
        <v/>
      </c>
      <c r="E10" s="13">
        <f>C10*x5_churn</f>
        <v/>
      </c>
      <c r="F10" s="13">
        <f>C10-E10+D10</f>
        <v/>
      </c>
      <c r="G10" s="13">
        <f>F10*x5_usage</f>
        <v/>
      </c>
      <c r="H10" s="16">
        <f>F10*x5_arpa</f>
        <v/>
      </c>
      <c r="I10" s="16">
        <f>F10*x5_cogs_pa</f>
        <v/>
      </c>
      <c r="J10" s="16">
        <f>F10*x5_ov</f>
        <v/>
      </c>
      <c r="K10" s="16">
        <f>H10-I10-J10</f>
        <v/>
      </c>
      <c r="L10" s="16">
        <f>x5_fixed</f>
        <v/>
      </c>
      <c r="M10" s="16">
        <f>K10-L10</f>
        <v/>
      </c>
      <c r="N10" s="16">
        <f>x5_spend</f>
        <v/>
      </c>
      <c r="O10" s="16">
        <f>M10-N10</f>
        <v/>
      </c>
      <c r="P10" s="16">
        <f>P9+O10</f>
        <v/>
      </c>
      <c r="Q10" s="15">
        <f>IF(K10&gt;=L10-1E-9,A10,99)</f>
        <v/>
      </c>
      <c r="R10" s="15">
        <f>IF(K10&gt;=L10+N10-1E-9,A10,99)</f>
        <v/>
      </c>
      <c r="T10" s="17">
        <f>x5_be_p</f>
        <v/>
      </c>
      <c r="U10" s="17">
        <f>x5_be_o</f>
        <v/>
      </c>
    </row>
    <row r="11">
      <c r="A11" s="15" t="n">
        <v>10</v>
      </c>
      <c r="B11" s="2" t="inlineStr">
        <is>
          <t>чер 2028</t>
        </is>
      </c>
      <c r="C11" s="13">
        <f>F10</f>
        <v/>
      </c>
      <c r="D11" s="13">
        <f>x5_new</f>
        <v/>
      </c>
      <c r="E11" s="13">
        <f>C11*x5_churn</f>
        <v/>
      </c>
      <c r="F11" s="13">
        <f>C11-E11+D11</f>
        <v/>
      </c>
      <c r="G11" s="13">
        <f>F11*x5_usage</f>
        <v/>
      </c>
      <c r="H11" s="16">
        <f>F11*x5_arpa</f>
        <v/>
      </c>
      <c r="I11" s="16">
        <f>F11*x5_cogs_pa</f>
        <v/>
      </c>
      <c r="J11" s="16">
        <f>F11*x5_ov</f>
        <v/>
      </c>
      <c r="K11" s="16">
        <f>H11-I11-J11</f>
        <v/>
      </c>
      <c r="L11" s="16">
        <f>x5_fixed</f>
        <v/>
      </c>
      <c r="M11" s="16">
        <f>K11-L11</f>
        <v/>
      </c>
      <c r="N11" s="16">
        <f>x5_spend</f>
        <v/>
      </c>
      <c r="O11" s="16">
        <f>M11-N11</f>
        <v/>
      </c>
      <c r="P11" s="16">
        <f>P10+O11</f>
        <v/>
      </c>
      <c r="Q11" s="15">
        <f>IF(K11&gt;=L11-1E-9,A11,99)</f>
        <v/>
      </c>
      <c r="R11" s="15">
        <f>IF(K11&gt;=L11+N11-1E-9,A11,99)</f>
        <v/>
      </c>
      <c r="T11" s="17">
        <f>x5_be_p</f>
        <v/>
      </c>
      <c r="U11" s="17">
        <f>x5_be_o</f>
        <v/>
      </c>
    </row>
    <row r="12">
      <c r="A12" s="15" t="n">
        <v>11</v>
      </c>
      <c r="B12" s="2" t="inlineStr">
        <is>
          <t>лип 2028</t>
        </is>
      </c>
      <c r="C12" s="13">
        <f>F11</f>
        <v/>
      </c>
      <c r="D12" s="13">
        <f>x5_new</f>
        <v/>
      </c>
      <c r="E12" s="13">
        <f>C12*x5_churn</f>
        <v/>
      </c>
      <c r="F12" s="13">
        <f>C12-E12+D12</f>
        <v/>
      </c>
      <c r="G12" s="13">
        <f>F12*x5_usage</f>
        <v/>
      </c>
      <c r="H12" s="16">
        <f>F12*x5_arpa</f>
        <v/>
      </c>
      <c r="I12" s="16">
        <f>F12*x5_cogs_pa</f>
        <v/>
      </c>
      <c r="J12" s="16">
        <f>F12*x5_ov</f>
        <v/>
      </c>
      <c r="K12" s="16">
        <f>H12-I12-J12</f>
        <v/>
      </c>
      <c r="L12" s="16">
        <f>x5_fixed</f>
        <v/>
      </c>
      <c r="M12" s="16">
        <f>K12-L12</f>
        <v/>
      </c>
      <c r="N12" s="16">
        <f>x5_spend</f>
        <v/>
      </c>
      <c r="O12" s="16">
        <f>M12-N12</f>
        <v/>
      </c>
      <c r="P12" s="16">
        <f>P11+O12</f>
        <v/>
      </c>
      <c r="Q12" s="15">
        <f>IF(K12&gt;=L12-1E-9,A12,99)</f>
        <v/>
      </c>
      <c r="R12" s="15">
        <f>IF(K12&gt;=L12+N12-1E-9,A12,99)</f>
        <v/>
      </c>
      <c r="T12" s="17">
        <f>x5_be_p</f>
        <v/>
      </c>
      <c r="U12" s="17">
        <f>x5_be_o</f>
        <v/>
      </c>
    </row>
    <row r="13">
      <c r="A13" s="15" t="n">
        <v>12</v>
      </c>
      <c r="B13" s="2" t="inlineStr">
        <is>
          <t>сер 2028</t>
        </is>
      </c>
      <c r="C13" s="13">
        <f>F12</f>
        <v/>
      </c>
      <c r="D13" s="13">
        <f>x5_new</f>
        <v/>
      </c>
      <c r="E13" s="13">
        <f>C13*x5_churn</f>
        <v/>
      </c>
      <c r="F13" s="13">
        <f>C13-E13+D13</f>
        <v/>
      </c>
      <c r="G13" s="13">
        <f>F13*x5_usage</f>
        <v/>
      </c>
      <c r="H13" s="16">
        <f>F13*x5_arpa</f>
        <v/>
      </c>
      <c r="I13" s="16">
        <f>F13*x5_cogs_pa</f>
        <v/>
      </c>
      <c r="J13" s="16">
        <f>F13*x5_ov</f>
        <v/>
      </c>
      <c r="K13" s="16">
        <f>H13-I13-J13</f>
        <v/>
      </c>
      <c r="L13" s="16">
        <f>x5_fixed</f>
        <v/>
      </c>
      <c r="M13" s="16">
        <f>K13-L13</f>
        <v/>
      </c>
      <c r="N13" s="16">
        <f>x5_spend</f>
        <v/>
      </c>
      <c r="O13" s="16">
        <f>M13-N13</f>
        <v/>
      </c>
      <c r="P13" s="16">
        <f>P12+O13</f>
        <v/>
      </c>
      <c r="Q13" s="15">
        <f>IF(K13&gt;=L13-1E-9,A13,99)</f>
        <v/>
      </c>
      <c r="R13" s="15">
        <f>IF(K13&gt;=L13+N13-1E-9,A13,99)</f>
        <v/>
      </c>
      <c r="T13" s="17">
        <f>x5_be_p</f>
        <v/>
      </c>
      <c r="U13" s="17">
        <f>x5_be_o</f>
        <v/>
      </c>
    </row>
    <row r="15">
      <c r="A15" s="1" t="inlineStr">
        <is>
          <t>Підсумок</t>
        </is>
      </c>
      <c r="B15" s="18" t="n"/>
      <c r="C15" s="18" t="n"/>
      <c r="D15" s="18" t="n"/>
      <c r="E15" s="19" t="n"/>
      <c r="F15" s="20" t="inlineStr">
        <is>
          <t>Значення</t>
        </is>
      </c>
    </row>
    <row r="16">
      <c r="A16" s="2" t="inlineStr">
        <is>
          <t>Перший місяць product BE</t>
        </is>
      </c>
      <c r="B16" s="18" t="n"/>
      <c r="C16" s="18" t="n"/>
      <c r="D16" s="18" t="n"/>
      <c r="E16" s="19" t="n"/>
      <c r="F16" s="21">
        <f>IF(MIN(Q2:Q13)=99,"не досягнуто",MIN(Q2:Q13))</f>
        <v/>
      </c>
    </row>
    <row r="17">
      <c r="A17" s="2" t="inlineStr">
        <is>
          <t>Перший місяць operating BE</t>
        </is>
      </c>
      <c r="B17" s="18" t="n"/>
      <c r="C17" s="18" t="n"/>
      <c r="D17" s="18" t="n"/>
      <c r="E17" s="19" t="n"/>
      <c r="F17" s="21">
        <f>IF(MIN(R2:R13)=99,"не досягнуто",MIN(R2:R13))</f>
        <v/>
      </c>
    </row>
    <row r="18">
      <c r="A18" s="2" t="inlineStr">
        <is>
          <t>Клієнтів на кінець M12</t>
        </is>
      </c>
      <c r="B18" s="18" t="n"/>
      <c r="C18" s="18" t="n"/>
      <c r="D18" s="18" t="n"/>
      <c r="E18" s="19" t="n"/>
      <c r="F18" s="22">
        <f>F13</f>
        <v/>
      </c>
    </row>
    <row r="19">
      <c r="A19" s="2" t="inlineStr">
        <is>
          <t>Наростаючий operating результат M1...M12, EUR</t>
        </is>
      </c>
      <c r="B19" s="18" t="n"/>
      <c r="C19" s="18" t="n"/>
      <c r="D19" s="18" t="n"/>
      <c r="E19" s="19" t="n"/>
      <c r="F19" s="23">
        <f>P13</f>
        <v/>
      </c>
    </row>
    <row r="20">
      <c r="A20" s="2" t="inlineStr">
        <is>
          <t>Втрата трьох місяців пілотів до M1, EUR</t>
        </is>
      </c>
      <c r="B20" s="18" t="n"/>
      <c r="C20" s="18" t="n"/>
      <c r="D20" s="18" t="n"/>
      <c r="E20" s="19" t="n"/>
      <c r="F20" s="24">
        <f>3*(x5_fixed+x5_spend)</f>
        <v/>
      </c>
    </row>
    <row r="21">
      <c r="A21" s="2" t="inlineStr">
        <is>
          <t>Cost baseline MVP ЛР № 3, EUR</t>
        </is>
      </c>
      <c r="B21" s="18" t="n"/>
      <c r="C21" s="18" t="n"/>
      <c r="D21" s="18" t="n"/>
      <c r="E21" s="19" t="n"/>
      <c r="F21" s="24" t="n">
        <v>145470.6896551724</v>
      </c>
    </row>
    <row r="22">
      <c r="A22" s="2" t="inlineStr">
        <is>
          <t>Залишок неокупленої інвестиції після M12, EUR</t>
        </is>
      </c>
      <c r="B22" s="18" t="n"/>
      <c r="C22" s="18" t="n"/>
      <c r="D22" s="18" t="n"/>
      <c r="E22" s="19" t="n"/>
      <c r="F22" s="24">
        <f>F21+F20-F19</f>
        <v/>
      </c>
    </row>
  </sheetData>
  <mergeCells count="8">
    <mergeCell ref="A21:E21"/>
    <mergeCell ref="A20:E20"/>
    <mergeCell ref="A16:E16"/>
    <mergeCell ref="A15:E15"/>
    <mergeCell ref="A19:E19"/>
    <mergeCell ref="A22:E22"/>
    <mergeCell ref="A17:E17"/>
    <mergeCell ref="A18:E18"/>
  </mergeCells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Фактор / показник</t>
        </is>
      </c>
      <c r="B1" s="1" t="inlineStr">
        <is>
          <t>−20%</t>
        </is>
      </c>
      <c r="C1" s="1" t="inlineStr">
        <is>
          <t>База</t>
        </is>
      </c>
      <c r="D1" s="1" t="inlineStr">
        <is>
          <t>+20%</t>
        </is>
      </c>
      <c r="E1" s="1" t="inlineStr">
        <is>
          <t>Що змінилося</t>
        </is>
      </c>
    </row>
    <row r="2">
      <c r="A2" s="2" t="inlineStr">
        <is>
          <t>Множник фактора</t>
        </is>
      </c>
      <c r="B2" s="25">
        <f>1-x5_delta</f>
        <v/>
      </c>
      <c r="C2" s="25" t="n">
        <v>1</v>
      </c>
      <c r="D2" s="25">
        <f>1+x5_delta</f>
        <v/>
      </c>
      <c r="E2" s="2" t="inlineStr">
        <is>
          <t>інші параметри незмінні</t>
        </is>
      </c>
    </row>
    <row r="3">
      <c r="A3" s="26" t="inlineStr">
        <is>
          <t>Churn</t>
        </is>
      </c>
      <c r="B3" s="2" t="n"/>
      <c r="C3" s="2" t="n"/>
      <c r="D3" s="2" t="n"/>
      <c r="E3" s="2" t="inlineStr">
        <is>
          <t>LTV/CAC; місяць BE</t>
        </is>
      </c>
    </row>
    <row r="4">
      <c r="A4" s="2" t="inlineStr">
        <is>
          <t>Monthly logo churn</t>
        </is>
      </c>
      <c r="B4" s="7">
        <f>x5_churn*B$2</f>
        <v/>
      </c>
      <c r="C4" s="7">
        <f>x5_churn*C$2</f>
        <v/>
      </c>
      <c r="D4" s="7">
        <f>x5_churn*D$2</f>
        <v/>
      </c>
      <c r="E4" s="2" t="n"/>
    </row>
    <row r="5">
      <c r="A5" s="2" t="inlineStr">
        <is>
          <t>Просте LTV, EUR</t>
        </is>
      </c>
      <c r="B5" s="12">
        <f>x5_arpa*x5_gm/B4</f>
        <v/>
      </c>
      <c r="C5" s="12">
        <f>x5_arpa*x5_gm/C4</f>
        <v/>
      </c>
      <c r="D5" s="12">
        <f>x5_arpa*x5_gm/D4</f>
        <v/>
      </c>
      <c r="E5" s="2" t="n"/>
    </row>
    <row r="6">
      <c r="A6" s="2" t="inlineStr">
        <is>
          <t>LTV / CAC</t>
        </is>
      </c>
      <c r="B6" s="13">
        <f>B5/x5_cac</f>
        <v/>
      </c>
      <c r="C6" s="13">
        <f>C5/x5_cac</f>
        <v/>
      </c>
      <c r="D6" s="13">
        <f>D5/x5_cac</f>
        <v/>
      </c>
      <c r="E6" s="2" t="n"/>
    </row>
    <row r="7">
      <c r="A7" s="2" t="inlineStr">
        <is>
          <t>Стаціонарна база, клієнтів</t>
        </is>
      </c>
      <c r="B7" s="13">
        <f>x5_new/B4</f>
        <v/>
      </c>
      <c r="C7" s="13">
        <f>x5_new/C4</f>
        <v/>
      </c>
      <c r="D7" s="13">
        <f>x5_new/D4</f>
        <v/>
      </c>
      <c r="E7" s="2" t="n"/>
    </row>
    <row r="8">
      <c r="A8" s="2" t="inlineStr">
        <is>
          <t>Місяць product BE</t>
        </is>
      </c>
      <c r="B8" s="9">
        <f>IF(x5_be_p&gt;=x5_new/B4,"не досягнуто",IF(ROUNDUP(LN(1-x5_be_p*B4/x5_new)/LN(1-B4)-1E-9,0)&gt;x5_h,"не досягнуто",ROUNDUP(LN(1-x5_be_p*B4/x5_new)/LN(1-B4)-1E-9,0)))</f>
        <v/>
      </c>
      <c r="C8" s="9">
        <f>IF(x5_be_p&gt;=x5_new/C4,"не досягнуто",IF(ROUNDUP(LN(1-x5_be_p*C4/x5_new)/LN(1-C4)-1E-9,0)&gt;x5_h,"не досягнуто",ROUNDUP(LN(1-x5_be_p*C4/x5_new)/LN(1-C4)-1E-9,0)))</f>
        <v/>
      </c>
      <c r="D8" s="9">
        <f>IF(x5_be_p&gt;=x5_new/D4,"не досягнуто",IF(ROUNDUP(LN(1-x5_be_p*D4/x5_new)/LN(1-D4)-1E-9,0)&gt;x5_h,"не досягнуто",ROUNDUP(LN(1-x5_be_p*D4/x5_new)/LN(1-D4)-1E-9,0)))</f>
        <v/>
      </c>
      <c r="E8" s="2" t="n"/>
    </row>
    <row r="9">
      <c r="A9" s="2" t="inlineStr">
        <is>
          <t>Місяць operating BE</t>
        </is>
      </c>
      <c r="B9" s="9">
        <f>IF(x5_be_o&gt;=x5_new/B4,"не досягнуто",IF(ROUNDUP(LN(1-x5_be_o*B4/x5_new)/LN(1-B4)-1E-9,0)&gt;x5_h,"не досягнуто",ROUNDUP(LN(1-x5_be_o*B4/x5_new)/LN(1-B4)-1E-9,0)))</f>
        <v/>
      </c>
      <c r="C9" s="9">
        <f>IF(x5_be_o&gt;=x5_new/C4,"не досягнуто",IF(ROUNDUP(LN(1-x5_be_o*C4/x5_new)/LN(1-C4)-1E-9,0)&gt;x5_h,"не досягнуто",ROUNDUP(LN(1-x5_be_o*C4/x5_new)/LN(1-C4)-1E-9,0)))</f>
        <v/>
      </c>
      <c r="D9" s="9">
        <f>IF(x5_be_o&gt;=x5_new/D4,"не досягнуто",IF(ROUNDUP(LN(1-x5_be_o*D4/x5_new)/LN(1-D4)-1E-9,0)&gt;x5_h,"не досягнуто",ROUNDUP(LN(1-x5_be_o*D4/x5_new)/LN(1-D4)-1E-9,0)))</f>
        <v/>
      </c>
      <c r="E9" s="2" t="n"/>
    </row>
    <row r="10">
      <c r="A10" s="26" t="inlineStr">
        <is>
          <t>Ціна</t>
        </is>
      </c>
      <c r="B10" s="2" t="n"/>
      <c r="C10" s="2" t="n"/>
      <c r="D10" s="2" t="n"/>
      <c r="E10" s="2" t="inlineStr">
        <is>
          <t>LTV/CAC; BE units</t>
        </is>
      </c>
    </row>
    <row r="11">
      <c r="A11" s="2" t="inlineStr">
        <is>
          <t>ARPA, EUR</t>
        </is>
      </c>
      <c r="B11" s="12">
        <f>(x5_rev_bu+x5_over)*B$2/x5_clients</f>
        <v/>
      </c>
      <c r="C11" s="12">
        <f>(x5_rev_bu+x5_over)*C$2/x5_clients</f>
        <v/>
      </c>
      <c r="D11" s="12">
        <f>(x5_rev_bu+x5_over)*D$2/x5_clients</f>
        <v/>
      </c>
      <c r="E11" s="2" t="n"/>
    </row>
    <row r="12">
      <c r="A12" s="2" t="inlineStr">
        <is>
          <t>Gross margin</t>
        </is>
      </c>
      <c r="B12" s="7">
        <f>(B11-x5_cogs_pa)/B11</f>
        <v/>
      </c>
      <c r="C12" s="7">
        <f>(C11-x5_cogs_pa)/C11</f>
        <v/>
      </c>
      <c r="D12" s="7">
        <f>(D11-x5_cogs_pa)/D11</f>
        <v/>
      </c>
      <c r="E12" s="2" t="n"/>
    </row>
    <row r="13">
      <c r="A13" s="2" t="inlineStr">
        <is>
          <t>CM на акаунт, EUR</t>
        </is>
      </c>
      <c r="B13" s="12">
        <f>B11*(1-x5_ovshare)-x5_cogs_pa</f>
        <v/>
      </c>
      <c r="C13" s="12">
        <f>C11*(1-x5_ovshare)-x5_cogs_pa</f>
        <v/>
      </c>
      <c r="D13" s="12">
        <f>D11*(1-x5_ovshare)-x5_cogs_pa</f>
        <v/>
      </c>
      <c r="E13" s="2" t="n"/>
    </row>
    <row r="14">
      <c r="A14" s="2" t="inlineStr">
        <is>
          <t>Просте LTV, EUR</t>
        </is>
      </c>
      <c r="B14" s="12">
        <f>B11*B12/x5_churn</f>
        <v/>
      </c>
      <c r="C14" s="12">
        <f>C11*C12/x5_churn</f>
        <v/>
      </c>
      <c r="D14" s="12">
        <f>D11*D12/x5_churn</f>
        <v/>
      </c>
      <c r="E14" s="2" t="n"/>
    </row>
    <row r="15">
      <c r="A15" s="2" t="inlineStr">
        <is>
          <t>LTV / CAC</t>
        </is>
      </c>
      <c r="B15" s="13">
        <f>B14/x5_cac</f>
        <v/>
      </c>
      <c r="C15" s="13">
        <f>C14/x5_cac</f>
        <v/>
      </c>
      <c r="D15" s="13">
        <f>D14/x5_cac</f>
        <v/>
      </c>
      <c r="E15" s="2" t="n"/>
    </row>
    <row r="16">
      <c r="A16" s="2" t="inlineStr">
        <is>
          <t>Product BE units</t>
        </is>
      </c>
      <c r="B16" s="13">
        <f>x5_fixed/B13</f>
        <v/>
      </c>
      <c r="C16" s="13">
        <f>x5_fixed/C13</f>
        <v/>
      </c>
      <c r="D16" s="13">
        <f>x5_fixed/D13</f>
        <v/>
      </c>
      <c r="E16" s="2" t="n"/>
    </row>
    <row r="17">
      <c r="A17" s="2" t="inlineStr">
        <is>
          <t>Operating BE units</t>
        </is>
      </c>
      <c r="B17" s="13">
        <f>(x5_fixed+x5_spend)/B13</f>
        <v/>
      </c>
      <c r="C17" s="13">
        <f>(x5_fixed+x5_spend)/C13</f>
        <v/>
      </c>
      <c r="D17" s="13">
        <f>(x5_fixed+x5_spend)/D13</f>
        <v/>
      </c>
      <c r="E17" s="2" t="n"/>
    </row>
    <row r="18">
      <c r="A18" s="2" t="inlineStr">
        <is>
          <t>Місяць product BE</t>
        </is>
      </c>
      <c r="B18" s="9">
        <f>IF(B16&gt;=x5_new/x5_churn,"не досягнуто",IF(ROUNDUP(LN(1-B16*x5_churn/x5_new)/LN(1-x5_churn)-1E-9,0)&gt;x5_h,"не досягнуто",ROUNDUP(LN(1-B16*x5_churn/x5_new)/LN(1-x5_churn)-1E-9,0)))</f>
        <v/>
      </c>
      <c r="C18" s="9">
        <f>IF(C16&gt;=x5_new/x5_churn,"не досягнуто",IF(ROUNDUP(LN(1-C16*x5_churn/x5_new)/LN(1-x5_churn)-1E-9,0)&gt;x5_h,"не досягнуто",ROUNDUP(LN(1-C16*x5_churn/x5_new)/LN(1-x5_churn)-1E-9,0)))</f>
        <v/>
      </c>
      <c r="D18" s="9">
        <f>IF(D16&gt;=x5_new/x5_churn,"не досягнуто",IF(ROUNDUP(LN(1-D16*x5_churn/x5_new)/LN(1-x5_churn)-1E-9,0)&gt;x5_h,"не досягнуто",ROUNDUP(LN(1-D16*x5_churn/x5_new)/LN(1-x5_churn)-1E-9,0)))</f>
        <v/>
      </c>
      <c r="E18" s="2" t="n"/>
    </row>
    <row r="19">
      <c r="A19" s="2" t="inlineStr">
        <is>
          <t>Місяць operating BE</t>
        </is>
      </c>
      <c r="B19" s="9">
        <f>IF(B17&gt;=x5_new/x5_churn,"не досягнуто",IF(ROUNDUP(LN(1-B17*x5_churn/x5_new)/LN(1-x5_churn)-1E-9,0)&gt;x5_h,"не досягнуто",ROUNDUP(LN(1-B17*x5_churn/x5_new)/LN(1-x5_churn)-1E-9,0)))</f>
        <v/>
      </c>
      <c r="C19" s="9">
        <f>IF(C17&gt;=x5_new/x5_churn,"не досягнуто",IF(ROUNDUP(LN(1-C17*x5_churn/x5_new)/LN(1-x5_churn)-1E-9,0)&gt;x5_h,"не досягнуто",ROUNDUP(LN(1-C17*x5_churn/x5_new)/LN(1-x5_churn)-1E-9,0)))</f>
        <v/>
      </c>
      <c r="D19" s="9">
        <f>IF(D17&gt;=x5_new/x5_churn,"не досягнуто",IF(ROUNDUP(LN(1-D17*x5_churn/x5_new)/LN(1-x5_churn)-1E-9,0)&gt;x5_h,"не досягнуто",ROUNDUP(LN(1-D17*x5_churn/x5_new)/LN(1-x5_churn)-1E-9,0)))</f>
        <v/>
      </c>
      <c r="E19" s="2" t="n"/>
    </row>
    <row r="20">
      <c r="A20" s="26" t="inlineStr">
        <is>
          <t>CAC</t>
        </is>
      </c>
      <c r="B20" s="2" t="n"/>
      <c r="C20" s="2" t="n"/>
      <c r="D20" s="2" t="n"/>
      <c r="E20" s="2" t="inlineStr">
        <is>
          <t>LTV/CAC; payback</t>
        </is>
      </c>
    </row>
    <row r="21">
      <c r="A21" s="2" t="inlineStr">
        <is>
          <t>Acquisition spend, EUR</t>
        </is>
      </c>
      <c r="B21" s="12">
        <f>x5_spend*B$2</f>
        <v/>
      </c>
      <c r="C21" s="12">
        <f>x5_spend*C$2</f>
        <v/>
      </c>
      <c r="D21" s="12">
        <f>x5_spend*D$2</f>
        <v/>
      </c>
      <c r="E21" s="2" t="n"/>
    </row>
    <row r="22">
      <c r="A22" s="2" t="inlineStr">
        <is>
          <t>CAC, EUR</t>
        </is>
      </c>
      <c r="B22" s="12">
        <f>B21/x5_new</f>
        <v/>
      </c>
      <c r="C22" s="12">
        <f>C21/x5_new</f>
        <v/>
      </c>
      <c r="D22" s="12">
        <f>D21/x5_new</f>
        <v/>
      </c>
      <c r="E22" s="2" t="n"/>
    </row>
    <row r="23">
      <c r="A23" s="2" t="inlineStr">
        <is>
          <t>LTV / CAC</t>
        </is>
      </c>
      <c r="B23" s="13">
        <f>x5_ltv/B22</f>
        <v/>
      </c>
      <c r="C23" s="13">
        <f>x5_ltv/C22</f>
        <v/>
      </c>
      <c r="D23" s="13">
        <f>x5_ltv/D22</f>
        <v/>
      </c>
      <c r="E23" s="2" t="n"/>
    </row>
    <row r="24">
      <c r="A24" s="2" t="inlineStr">
        <is>
          <t>CAC payback, міс.</t>
        </is>
      </c>
      <c r="B24" s="13">
        <f>B22/x5_gp</f>
        <v/>
      </c>
      <c r="C24" s="13">
        <f>C22/x5_gp</f>
        <v/>
      </c>
      <c r="D24" s="13">
        <f>D22/x5_gp</f>
        <v/>
      </c>
      <c r="E24" s="2" t="n"/>
    </row>
    <row r="25">
      <c r="A25" s="2" t="inlineStr">
        <is>
          <t>Product BE units</t>
        </is>
      </c>
      <c r="B25" s="13">
        <f>x5_fixed/x5_cm</f>
        <v/>
      </c>
      <c r="C25" s="13">
        <f>x5_fixed/x5_cm</f>
        <v/>
      </c>
      <c r="D25" s="13">
        <f>x5_fixed/x5_cm</f>
        <v/>
      </c>
      <c r="E25" s="2" t="n"/>
    </row>
    <row r="26">
      <c r="A26" s="2" t="inlineStr">
        <is>
          <t>Operating BE units</t>
        </is>
      </c>
      <c r="B26" s="13">
        <f>(x5_fixed+B21)/x5_cm</f>
        <v/>
      </c>
      <c r="C26" s="13">
        <f>(x5_fixed+C21)/x5_cm</f>
        <v/>
      </c>
      <c r="D26" s="13">
        <f>(x5_fixed+D21)/x5_cm</f>
        <v/>
      </c>
      <c r="E26" s="2" t="n"/>
    </row>
    <row r="27">
      <c r="A27" s="2" t="inlineStr">
        <is>
          <t>Місяць operating BE</t>
        </is>
      </c>
      <c r="B27" s="9">
        <f>IF(B26&gt;=x5_new/x5_churn,"не досягнуто",IF(ROUNDUP(LN(1-B26*x5_churn/x5_new)/LN(1-x5_churn)-1E-9,0)&gt;x5_h,"не досягнуто",ROUNDUP(LN(1-B26*x5_churn/x5_new)/LN(1-x5_churn)-1E-9,0)))</f>
        <v/>
      </c>
      <c r="C27" s="9">
        <f>IF(C26&gt;=x5_new/x5_churn,"не досягнуто",IF(ROUNDUP(LN(1-C26*x5_churn/x5_new)/LN(1-x5_churn)-1E-9,0)&gt;x5_h,"не досягнуто",ROUNDUP(LN(1-C26*x5_churn/x5_new)/LN(1-x5_churn)-1E-9,0)))</f>
        <v/>
      </c>
      <c r="D27" s="9">
        <f>IF(D26&gt;=x5_new/x5_churn,"не досягнуто",IF(ROUNDUP(LN(1-D26*x5_churn/x5_new)/LN(1-x5_churn)-1E-9,0)&gt;x5_h,"не досягнуто",ROUNDUP(LN(1-D26*x5_churn/x5_new)/LN(1-x5_churn)-1E-9,0)))</f>
        <v/>
      </c>
      <c r="E27" s="2" t="n"/>
    </row>
    <row r="29">
      <c r="A29" t="inlineStr">
        <is>
          <t>Припущення для ціни: змінюються всі ціни прайсу (базовий платіж, ціна будівлі, ставка overage 55 EUR); COGS на акаунт 34,83 EUR незмінний; інші змінні витрати 6% від нової ARPA.</t>
        </is>
      </c>
    </row>
    <row r="30">
      <c r="A30" t="inlineStr">
        <is>
          <t>Припущення для CAC: 7 нових клієнтів сталі, тому CAC змінюється разом з acquisition spend.</t>
        </is>
      </c>
    </row>
  </sheetData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2026-10-05T19:46:50Z</dcterms:created>
  <dcterms:modified xmlns:dcterms="http://purl.org/dc/terms/" xmlns:xsi="http://www.w3.org/2001/XMLSchema-instance" xsi:type="dcterms:W3CDTF">2026-10-05T19:46:50Z</dcterms:modified>
</cp:coreProperties>
</file>